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7a3dc0cd6749a8" /></Relationships>
</file>

<file path=xl/workbook.xml><?xml version="1.0" encoding="utf-8"?>
<x:workbook xmlns:x="http://schemas.openxmlformats.org/spreadsheetml/2006/main">
  <x:sheets>
    <x:sheet xmlns:r="http://schemas.openxmlformats.org/officeDocument/2006/relationships" name="안내" sheetId="1" r:id="R3740af4b25d34fde"/>
    <x:sheet xmlns:r="http://schemas.openxmlformats.org/officeDocument/2006/relationships" name="Courses" sheetId="2" r:id="Rff67909ec0564d0e"/>
    <x:sheet xmlns:r="http://schemas.openxmlformats.org/officeDocument/2006/relationships" name="Exams" sheetId="3" r:id="Rd309122759114697"/>
    <x:sheet xmlns:r="http://schemas.openxmlformats.org/officeDocument/2006/relationships" name="Questions" sheetId="4" r:id="Rf97d9b4c88114ece"/>
    <x:sheet xmlns:r="http://schemas.openxmlformats.org/officeDocument/2006/relationships" name="Reports" sheetId="5" r:id="Rb237b5116c2f4256"/>
    <x:sheet xmlns:r="http://schemas.openxmlformats.org/officeDocument/2006/relationships" name="총괄평가입력예시" sheetId="6" r:id="Rb8d2c4125fb24264"/>
    <x:sheet xmlns:r="http://schemas.openxmlformats.org/officeDocument/2006/relationships" name="연결정책" sheetId="7" r:id="R1c284d4e475343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8"/>
      <x:color rgb="FFFFFFFF"/>
      <x:name val="Carlito"/>
    </x:font>
    <x:font>
      <x:sz val="10"/>
      <x:color rgb="FF0C2B50"/>
      <x:name val="Carlito"/>
    </x:font>
    <x:font>
      <x:b/>
      <x:sz val="11"/>
      <x:color rgb="FFFFFFFF"/>
      <x:name val="Carlito"/>
    </x:font>
    <x:font>
      <x:sz val="10"/>
      <x:name val="Carlito"/>
    </x:font>
    <x:font>
      <x:sz val="9"/>
      <x:name val="Carlito"/>
    </x:font>
    <x:font>
      <x:b/>
      <x:sz val="9"/>
      <x:color rgb="FFFFFFFF"/>
      <x:name val="Carlito"/>
    </x:font>
  </x:fonts>
  <x:fills count="4">
    <x:fill>
      <x:patternFill patternType="none"/>
    </x:fill>
    <x:fill>
      <x:patternFill patternType="gray125"/>
    </x:fill>
    <x:fill>
      <x:patternFill patternType="solid">
        <x:fgColor rgb="FF0C2B50"/>
      </x:patternFill>
    </x:fill>
    <x:fill>
      <x:patternFill patternType="solid">
        <x:fgColor rgb="FFEAF4FF"/>
      </x:patternFill>
    </x:fill>
  </x:fills>
  <x:borders count="8">
    <x:border/>
    <x:border/>
    <x:border>
      <x:left/>
      <x:top/>
      <x:bottom/>
    </x:border>
    <x:border>
      <x:right/>
      <x:top/>
      <x:bottom/>
    </x:border>
    <x:border>
      <x:left/>
      <x:top/>
      <x:bottom/>
    </x:border>
    <x:border>
      <x:right/>
      <x:top/>
      <x:bottom/>
    </x:border>
    <x:border>
      <x:top/>
      <x:bottom/>
    </x:border>
    <x:border>
      <x:top/>
      <x:bottom/>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1" xfId="0" applyNumberFormat="1" applyFont="1" applyFill="1" applyBorder="1"/>
    <x:xf numFmtId="0" fontId="3" fillId="2" borderId="4" xfId="0" applyNumberFormat="1" applyFont="1" applyFill="1" applyBorder="1"/>
    <x:xf numFmtId="0" fontId="3" fillId="2" borderId="5" xfId="0" applyNumberFormat="1" applyFont="1" applyFill="1" applyBorder="1"/>
    <x:xf numFmtId="0" fontId="3" fillId="2" borderId="4" xfId="0" applyNumberFormat="1" applyFont="1" applyFill="1" applyBorder="1" applyAlignment="1">
      <x:alignment wrapText="1"/>
    </x:xf>
    <x:xf numFmtId="0" fontId="3" fillId="2" borderId="5" xfId="0" applyNumberFormat="1" applyFont="1" applyFill="1" applyBorder="1" applyAlignment="1">
      <x:alignment wrapText="1"/>
    </x:xf>
    <x:xf numFmtId="0" fontId="3" fillId="2" borderId="4" xfId="0" applyNumberFormat="1" applyFont="1" applyFill="1" applyBorder="1" applyAlignment="1">
      <x:alignment horizontal="center" wrapText="1"/>
    </x:xf>
    <x:xf numFmtId="0" fontId="3" fillId="2" borderId="5" xfId="0" applyNumberFormat="1" applyFont="1" applyFill="1" applyBorder="1" applyAlignment="1">
      <x:alignment horizontal="center" wrapText="1"/>
    </x:xf>
    <x:xf numFmtId="0" fontId="3" fillId="2" borderId="4" xfId="0" applyNumberFormat="1" applyFont="1" applyFill="1" applyBorder="1" applyAlignment="1">
      <x:alignment horizontal="center" vertical="center" wrapText="1"/>
    </x:xf>
    <x:xf numFmtId="0" fontId="3" fillId="2"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6" xfId="0" applyNumberFormat="1" applyFont="1" applyFill="1" applyBorder="1"/>
    <x:xf numFmtId="0" fontId="3" fillId="2" borderId="6" xfId="0" applyNumberFormat="1" applyFont="1" applyFill="1" applyBorder="1" applyAlignment="1">
      <x:alignment wrapText="1"/>
    </x:xf>
    <x:xf numFmtId="0" fontId="3" fillId="2" borderId="6" xfId="0" applyNumberFormat="1" applyFont="1" applyFill="1" applyBorder="1" applyAlignment="1">
      <x:alignment horizontal="center" wrapText="1"/>
    </x:xf>
    <x:xf numFmtId="0" fontId="3" fillId="2" borderId="6" xfId="0" applyNumberFormat="1" applyFont="1" applyFill="1" applyBorder="1" applyAlignment="1">
      <x:alignment horizontal="center" vertical="center" wrapText="1"/>
    </x:xf>
    <x:xf numFmtId="0" fontId="3" fillId="2" borderId="7" xfId="0" applyNumberFormat="1" applyFont="1" applyFill="1" applyBorder="1"/>
    <x:xf numFmtId="0" fontId="3" fillId="2" borderId="7" xfId="0" applyNumberFormat="1" applyFont="1" applyFill="1" applyBorder="1" applyAlignment="1">
      <x:alignment wrapText="1"/>
    </x:xf>
    <x:xf numFmtId="0" fontId="3" fillId="2" borderId="7" xfId="0" applyNumberFormat="1" applyFont="1" applyFill="1" applyBorder="1" applyAlignment="1">
      <x:alignment horizontal="center" wrapText="1"/>
    </x:xf>
    <x:xf numFmtId="0" fontId="3" fillId="2" borderId="7"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wrapText="1"/>
    </x:xf>
    <x:xf numFmtId="0" fontId="5"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1" xfId="0" applyNumberFormat="1" applyFont="1" applyFill="1" applyBorder="1"/>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2" borderId="2"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top" wrapText="1"/>
    </x:xf>
    <x:xf numFmtId="0" fontId="6" fillId="2" borderId="6" xfId="0" applyNumberFormat="1" applyFont="1" applyFill="1" applyBorder="1" applyAlignment="1">
      <x:alignment horizontal="center" vertical="top" wrapText="1"/>
    </x:xf>
    <x:xf numFmtId="0" fontId="6" fillId="2" borderId="3" xfId="0" applyNumberFormat="1" applyFont="1" applyFill="1" applyBorder="1" applyAlignment="1">
      <x:alignment horizontal="center" vertical="top" wrapText="1"/>
    </x:xf>
    <x:xf numFmtId="0" fontId="6" fillId="2" borderId="4" xfId="0" applyNumberFormat="1" applyFont="1" applyFill="1" applyBorder="1" applyAlignment="1">
      <x:alignment horizontal="center" vertical="center" wrapText="1"/>
    </x:xf>
    <x:xf numFmtId="0" fontId="6" fillId="2" borderId="7" xfId="0" applyNumberFormat="1" applyFont="1" applyFill="1" applyBorder="1" applyAlignment="1">
      <x:alignment horizontal="center" vertical="center" wrapText="1"/>
    </x:xf>
    <x:xf numFmtId="0" fontId="6" fillId="2" borderId="5" xfId="0" applyNumberFormat="1" applyFont="1" applyFill="1" applyBorder="1" applyAlignment="1">
      <x:alignment horizontal="center" vertical="center" wrapText="1"/>
    </x:xf>
    <x:xf numFmtId="0" fontId="6" fillId="2" borderId="4" xfId="0" applyNumberFormat="1" applyFont="1" applyFill="1" applyBorder="1" applyAlignment="1">
      <x:alignment horizontal="center" vertical="top" wrapText="1"/>
    </x:xf>
    <x:xf numFmtId="0" fontId="6" fillId="2" borderId="7" xfId="0" applyNumberFormat="1" applyFont="1" applyFill="1" applyBorder="1" applyAlignment="1">
      <x:alignment horizontal="center" vertical="top" wrapText="1"/>
    </x:xf>
    <x:xf numFmtId="0" fontId="6" fillId="2" borderId="5" xfId="0" applyNumberFormat="1" applyFont="1" applyFill="1" applyBorder="1" applyAlignment="1">
      <x:alignment horizontal="center" vertical="top" wrapText="1"/>
    </x:xf>
    <x:xf numFmtId="200" fontId="0" fillId="0" borderId="0" xfId="0" applyNumberFormat="1" applyFont="1" applyFill="1" applyBorder="1"/>
    <x:xf numFmtId="200" fontId="0" fillId="0" borderId="1" xfId="0" applyNumberFormat="1" applyFont="1" applyFill="1" applyBorder="1"/>
    <x:xf numFmtId="200" fontId="5" fillId="0" borderId="0" xfId="0" applyNumberFormat="1" applyFont="1" applyFill="1" applyBorder="1"/>
    <x:xf numFmtId="20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0" fontId="5" fillId="0" borderId="1" xfId="0" applyNumberFormat="1" applyFont="1" applyFill="1" applyBorder="1"/>
    <x:xf numFmtId="20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200" fontId="5" fillId="0" borderId="1" xfId="0" applyNumberFormat="1" applyFont="1" applyFill="1" applyBorder="1" applyAlignment="1">
      <x:alignment vertical="center" wrapText="1"/>
    </x:xf>
  </x:cellXfs>
  <x:cellStyles count="1">
    <x:cellStyle name="Normal" xfId="0"/>
  </x:cellStyles>
  <x:dxfs count="12">
    <x:dxf>
      <x:font>
        <x:b/>
        <x:color rgb="FFA16207"/>
      </x:font>
      <x:fill>
        <x:patternFill patternType="solid">
          <x:bgColor rgb="FFFEF3C7"/>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1976D2"/>
      </x:font>
      <x:fill>
        <x:patternFill patternType="solid">
          <x:bgColor rgb="FFEAF4FF"/>
        </x:patternFill>
      </x:fill>
    </x:dxf>
    <x:dxf>
      <x:font>
        <x:b/>
        <x:color rgb="FFA16207"/>
      </x:font>
      <x:fill>
        <x:patternFill patternType="solid">
          <x:bgColor rgb="FFFEF3C7"/>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B42318"/>
      </x:font>
      <x:fill>
        <x:patternFill patternType="solid">
          <x:bgColor rgb="FFFEE4E2"/>
        </x:patternFill>
      </x:fill>
    </x:dxf>
    <x:dxf>
      <x:font>
        <x:b/>
        <x:color rgb="FF15803D"/>
      </x:font>
      <x:fill>
        <x:patternFill patternType="solid">
          <x:bgColor rgb="FFDCFCE7"/>
        </x:patternFill>
      </x:fill>
    </x:dxf>
    <x:dxf>
      <x:font>
        <x:b/>
        <x:color rgb="FFB42318"/>
      </x:font>
      <x:fill>
        <x:patternFill patternType="solid">
          <x:bgColor rgb="FFFEE4E2"/>
        </x:patternFill>
      </x:fill>
    </x:dxf>
    <x:dxf>
      <x:font>
        <x:b/>
        <x:color rgb="FF15803D"/>
      </x:font>
      <x:fill>
        <x:patternFill patternType="solid">
          <x:bgColor rgb="FFDCFCE7"/>
        </x:patternFill>
      </x:fill>
    </x:dxf>
    <x:dxf>
      <x:font>
        <x:b/>
        <x:color rgb="FF1976D2"/>
      </x:font>
      <x:fill>
        <x:patternFill patternType="solid">
          <x:bgColor rgb="FFEA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ff7d47a3b6443f" /><Relationship Type="http://schemas.openxmlformats.org/officeDocument/2006/relationships/theme" Target="/xl/theme/theme1.xml" Id="Rd39c4a6d04fa478e" /><Relationship Type="http://schemas.microsoft.com/office/2022/11/relationships/FeaturePropertyBag" Target="/xl/featurePropertyBag/featurePropertyBag.xml" Id="R68a56a9ce2194757" /><Relationship Type="http://schemas.openxmlformats.org/officeDocument/2006/relationships/sharedStrings" Target="/xl/sharedStrings.xml" Id="R164dbf8003f44980" /><Relationship Type="http://schemas.openxmlformats.org/officeDocument/2006/relationships/worksheet" Target="/xl/worksheets/sheet1.xml" Id="R3740af4b25d34fde" /><Relationship Type="http://schemas.openxmlformats.org/officeDocument/2006/relationships/worksheet" Target="/xl/worksheets/sheet2.xml" Id="Rff67909ec0564d0e" /><Relationship Type="http://schemas.openxmlformats.org/officeDocument/2006/relationships/worksheet" Target="/xl/worksheets/sheet3.xml" Id="Rd309122759114697" /><Relationship Type="http://schemas.openxmlformats.org/officeDocument/2006/relationships/worksheet" Target="/xl/worksheets/sheet4.xml" Id="Rf97d9b4c88114ece" /><Relationship Type="http://schemas.openxmlformats.org/officeDocument/2006/relationships/worksheet" Target="/xl/worksheets/sheet5.xml" Id="Rb237b5116c2f4256" /><Relationship Type="http://schemas.openxmlformats.org/officeDocument/2006/relationships/worksheet" Target="/xl/worksheets/sheet6.xml" Id="Rb8d2c4125fb24264" /><Relationship Type="http://schemas.openxmlformats.org/officeDocument/2006/relationships/worksheet" Target="/xl/worksheets/sheet7.xml" Id="R1c284d4e475343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ursesTable" displayName="CoursesTable" ref="A1:C4" headerRowCount="1" totalsRowCount="0" totalsRowShown="0">
  <x:tableColumns count="3">
    <x:tableColumn id="1" name="CourseId"/>
    <x:tableColumn id="2" name="CourseName"/>
    <x:tableColumn id="3" name="Active"/>
  </x:tableColumns>
  <x:tableStyleInfo name="TableStyleMedium2" showFirstColumn="0" showLastColumn="0" showRowStripes="1" showColumnStripes="0"/>
</x:table>
</file>

<file path=xl/tables/table2.xml><?xml version="1.0" encoding="utf-8"?>
<x:table xmlns:x="http://schemas.openxmlformats.org/spreadsheetml/2006/main" id="2" name="ExamsTable" displayName="ExamsTable" ref="A1:W40" headerRowCount="1" totalsRowCount="0" totalsRowShown="0">
  <x:tableColumns count="23">
    <x:tableColumn id="1" name="ExamId"/>
    <x:tableColumn id="2" name="CourseId"/>
    <x:tableColumn id="3" name="Round"/>
    <x:tableColumn id="4" name="Title"/>
    <x:tableColumn id="5" name="ShortTitle"/>
    <x:tableColumn id="6" name="AssessmentType"/>
    <x:tableColumn id="7" name="Section"/>
    <x:tableColumn id="8" name="ExamDate"/>
    <x:tableColumn id="9" name="QuestionCount"/>
    <x:tableColumn id="10" name="MaxScore"/>
    <x:tableColumn id="11" name="ExamPDF"/>
    <x:tableColumn id="12" name="SolutionPDF"/>
    <x:tableColumn id="13" name="ReviewStatus"/>
    <x:tableColumn id="14" name="ConfigVersion"/>
    <x:tableColumn id="15" name="Status"/>
    <x:tableColumn id="16" name="PagesJSON"/>
    <x:tableColumn id="17" name="CoreNoteJSON"/>
    <x:tableColumn id="18" name="InputProfileJSON"/>
    <x:tableColumn id="19" name="HistoryExamIdsJSON"/>
    <x:tableColumn id="20" name="HistoryLabel"/>
    <x:tableColumn id="21" name="SourceTitle"/>
    <x:tableColumn id="22" name="SourceNote"/>
    <x:tableColumn id="23" name="DisplayOrder"/>
  </x:tableColumns>
  <x:tableStyleInfo name="TableStyleMedium2" showFirstColumn="0" showLastColumn="0" showRowStripes="1" showColumnStripes="0"/>
</x:table>
</file>

<file path=xl/tables/table3.xml><?xml version="1.0" encoding="utf-8"?>
<x:table xmlns:x="http://schemas.openxmlformats.org/spreadsheetml/2006/main" id="3" name="QuestionsTable" displayName="QuestionsTable" ref="A1:P109" headerRowCount="1" totalsRowCount="0" totalsRowShown="0">
  <x:tableColumns count="16">
    <x:tableColumn id="1" name="ExamId"/>
    <x:tableColumn id="2" name="QuestionNo"/>
    <x:tableColumn id="3" name="Type"/>
    <x:tableColumn id="4" name="InputMode"/>
    <x:tableColumn id="5" name="MaxPoints"/>
    <x:tableColumn id="6" name="Unit"/>
    <x:tableColumn id="7" name="Topic"/>
    <x:tableColumn id="8" name="Difficulty"/>
    <x:tableColumn id="9" name="AnswerJSON"/>
    <x:tableColumn id="10" name="RubricJSON"/>
    <x:tableColumn id="11" name="ExplanationJSON"/>
    <x:tableColumn id="12" name="OriginalRetryJSON"/>
    <x:tableColumn id="13" name="SimilarProblemJSON"/>
    <x:tableColumn id="14" name="ReviewStatus"/>
    <x:tableColumn id="15" name="CorrectionNote"/>
    <x:tableColumn id="16" name="ImageJSON"/>
  </x:tableColumns>
  <x:tableStyleInfo name="TableStyleMedium2" showFirstColumn="0" showLastColumn="0" showRowStripes="1" showColumnStripes="0"/>
</x:table>
</file>

<file path=xl/tables/table4.xml><?xml version="1.0" encoding="utf-8"?>
<x:table xmlns:x="http://schemas.openxmlformats.org/spreadsheetml/2006/main" id="4" name="ReportsTable" displayName="ReportsTable" ref="A1:Q1" headerRowCount="1" totalsRowCount="0" totalsRowShown="0">
  <x:tableColumns count="17">
    <x:tableColumn id="1" name="Token"/>
    <x:tableColumn id="2" name="Fingerprint"/>
    <x:tableColumn id="3" name="IdentitySeed"/>
    <x:tableColumn id="4" name="IdentityDigest"/>
    <x:tableColumn id="5" name="StudentKey"/>
    <x:tableColumn id="6" name="ExamId"/>
    <x:tableColumn id="7" name="CourseId"/>
    <x:tableColumn id="8" name="School"/>
    <x:tableColumn id="9" name="Name"/>
    <x:tableColumn id="10" name="Grade"/>
    <x:tableColumn id="11" name="ClassNo"/>
    <x:tableColumn id="12" name="ResultInputsJSON"/>
    <x:tableColumn id="13" name="PartialModesJSON"/>
    <x:tableColumn id="14" name="ScoringJSON"/>
    <x:tableColumn id="15" name="RecordJSON"/>
    <x:tableColumn id="16" name="CreatedAt"/>
    <x:tableColumn id="17" name="UpdatedAt"/>
  </x:tableColumns>
  <x:tableStyleInfo name="TableStyleMedium2" showFirstColumn="0" showLastColumn="0" showRowStripes="1" showColumnStripes="0"/>
</x:table>
</file>

<file path=xl/tables/table5.xml><?xml version="1.0" encoding="utf-8"?>
<x:table xmlns:x="http://schemas.openxmlformats.org/spreadsheetml/2006/main" id="5" name="TotalAssessmentInputTable" displayName="TotalAssessmentInputTable" ref="A4:AK24" headerRowCount="1" totalsRowCount="0" totalsRowShown="0">
  <x:tableColumns count="37">
    <x:tableColumn id="1" name="CourseId"/>
    <x:tableColumn id="2" name="ExamId"/>
    <x:tableColumn id="3" name="학교"/>
    <x:tableColumn id="4" name="이름"/>
    <x:tableColumn id="5" name="학년"/>
    <x:tableColumn id="6" name="반번호"/>
    <x:tableColumn id="7" name="Q1"/>
    <x:tableColumn id="8" name="Q2"/>
    <x:tableColumn id="9" name="Q3"/>
    <x:tableColumn id="10" name="Q4"/>
    <x:tableColumn id="11" name="Q5"/>
    <x:tableColumn id="12" name="Q6"/>
    <x:tableColumn id="13" name="Q7"/>
    <x:tableColumn id="14" name="Q8"/>
    <x:tableColumn id="15" name="Q9"/>
    <x:tableColumn id="16" name="Q10"/>
    <x:tableColumn id="17" name="Q11"/>
    <x:tableColumn id="18" name="Q12"/>
    <x:tableColumn id="19" name="Q13"/>
    <x:tableColumn id="20" name="Q14"/>
    <x:tableColumn id="21" name="Q15"/>
    <x:tableColumn id="22" name="Q16"/>
    <x:tableColumn id="23" name="Q17"/>
    <x:tableColumn id="24" name="Q18"/>
    <x:tableColumn id="25" name="Q19"/>
    <x:tableColumn id="26" name="Q20"/>
    <x:tableColumn id="27" name="Q21"/>
    <x:tableColumn id="28" name="Q22"/>
    <x:tableColumn id="29" name="Q23"/>
    <x:tableColumn id="30" name="Q24"/>
    <x:tableColumn id="31" name="Q25"/>
    <x:tableColumn id="32" name="객관식정답수"/>
    <x:tableColumn id="33" name="객관식점수"/>
    <x:tableColumn id="34" name="서술형점수"/>
    <x:tableColumn id="35" name="총점"/>
    <x:tableColumn id="36" name="성취율"/>
    <x:tableColumn id="37" name="유효성"/>
  </x:tableColumns>
  <x:tableStyleInfo name="TableStyleMedium2" showFirstColumn="0" showLastColumn="0" showRowStripes="1" showColumnStripes="0"/>
</x:table>
</file>

<file path=xl/tables/table6.xml><?xml version="1.0" encoding="utf-8"?>
<x:table xmlns:x="http://schemas.openxmlformats.org/spreadsheetml/2006/main" id="6" name="HistoryLinkPolicyTable" displayName="HistoryLinkPolicyTable" ref="A4:G9" headerRowCount="1" totalsRowCount="0" totalsRowShown="0">
  <x:tableColumns count="7">
    <x:tableColumn id="1" name="CourseId"/>
    <x:tableColumn id="2" name="TotalExamId"/>
    <x:tableColumn id="3" name="총괄평가"/>
    <x:tableColumn id="4" name="상태"/>
    <x:tableColumn id="5" name="연결 범위"/>
    <x:tableColumn id="6" name="HistoryExamIds"/>
    <x:tableColumn id="7" name="학생 일치 기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a1019a008e456a" /></Relationships>
</file>

<file path=xl/worksheets/_rels/sheet3.xml.rels>&#65279;<?xml version="1.0" encoding="utf-8"?><Relationships xmlns="http://schemas.openxmlformats.org/package/2006/relationships"><Relationship Type="http://schemas.openxmlformats.org/officeDocument/2006/relationships/table" Target="/xl/tables/table2.xml" Id="R60a42d5bb4284241" /></Relationships>
</file>

<file path=xl/worksheets/_rels/sheet4.xml.rels>&#65279;<?xml version="1.0" encoding="utf-8"?><Relationships xmlns="http://schemas.openxmlformats.org/package/2006/relationships"><Relationship Type="http://schemas.openxmlformats.org/officeDocument/2006/relationships/table" Target="/xl/tables/table3.xml" Id="R67d8b0cda41c457f" /></Relationships>
</file>

<file path=xl/worksheets/_rels/sheet5.xml.rels>&#65279;<?xml version="1.0" encoding="utf-8"?><Relationships xmlns="http://schemas.openxmlformats.org/package/2006/relationships"><Relationship Type="http://schemas.openxmlformats.org/officeDocument/2006/relationships/table" Target="/xl/tables/table4.xml" Id="R39b3085b93ee48e6" /></Relationships>
</file>

<file path=xl/worksheets/_rels/sheet6.xml.rels>&#65279;<?xml version="1.0" encoding="utf-8"?><Relationships xmlns="http://schemas.openxmlformats.org/package/2006/relationships"><Relationship Type="http://schemas.openxmlformats.org/officeDocument/2006/relationships/table" Target="/xl/tables/table5.xml" Id="Rfea848eff3d546c1" /></Relationships>
</file>

<file path=xl/worksheets/_rels/sheet7.xml.rels>&#65279;<?xml version="1.0" encoding="utf-8"?><Relationships xmlns="http://schemas.openxmlformats.org/package/2006/relationships"><Relationship Type="http://schemas.openxmlformats.org/officeDocument/2006/relationships/table" Target="/xl/tables/table6.xml" Id="Rc69588ecaed141d1" /></Relationships>
</file>

<file path=xl/worksheets/sheet1.xml><?xml version="1.0" encoding="utf-8"?>
<x:worksheet xmlns:x="http://schemas.openxmlformats.org/spreadsheetml/2006/main">
  <x:sheetFormatPr defaultRowHeight="15"/>
  <x:cols>
    <x:col min="1" max="1" width="18" hidden="0" customWidth="1"/>
    <x:col min="2" max="2" width="82" hidden="0" customWidth="1"/>
  </x:cols>
  <x:sheetData>
    <x:row r="1" ht="38" customHeight="1">
      <x:c r="A1" s="5" t="str">
        <x:v>Young's Physics 총괄평가 통합 Google Sheets 초기화 템플릿</x:v>
      </x:c>
      <x:c r="B1" s="5"/>
      <x:c r="C1" s="5"/>
      <x:c r="D1" s="5"/>
      <x:c r="E1" s="5"/>
      <x:c r="F1" s="5"/>
      <x:c r="G1" s="5"/>
      <x:c r="H1" s="5"/>
    </x:row>
    <x:row r="2" ht="34" customHeight="1">
      <x:c r="A2" s="13" t="str">
        <x:v>Apps Script Code.gs의 새 17열 Reports 스키마와 총괄평가 메타데이터를 반영한 설치용 파일입니다.</x:v>
      </x:c>
      <x:c r="B2" s="13"/>
      <x:c r="C2" s="13"/>
      <x:c r="D2" s="13"/>
      <x:c r="E2" s="13"/>
      <x:c r="F2" s="13"/>
      <x:c r="G2" s="13"/>
      <x:c r="H2" s="13"/>
    </x:row>
    <x:row r="4" ht="28" customHeight="1">
      <x:c r="A4" s="25" t="str">
        <x:v>구분</x:v>
      </x:c>
      <x:c r="B4" s="26" t="str">
        <x:v>내용</x:v>
      </x:c>
    </x:row>
    <x:row r="5">
      <x:c r="A5" s="38" t="str">
        <x:v>설치 순서</x:v>
      </x:c>
      <x:c r="B5" s="38" t="str">
        <x:v>1) 새 Google Spreadsheet 생성 → 2) 이 파일 업로드/시트 복사 → 3) Code.gs 붙여넣기 → 4) connectThisSpreadsheet() 실행 → 5) Script Properties 설정 → 6) 웹 앱 재배포</x:v>
      </x:c>
    </x:row>
    <x:row r="6">
      <x:c r="A6" s="38" t="str">
        <x:v>총괄 입력</x:v>
      </x:c>
      <x:c r="B6" s="38" t="str">
        <x:v>1~20번: 0=틀림, 1=맞음(문항 4점). 21~25번: 실제 서술형 점수 0~4점.</x:v>
      </x:c>
    </x:row>
    <x:row r="7">
      <x:c r="A7" s="38" t="str">
        <x:v>복습 연결</x:v>
      </x:c>
      <x:c r="B7" s="38" t="str">
        <x:v>총괄평가의 courseId·학교·이름이 같은 기존 복습 기록만 지정 historyExamIds 범위에서 연결합니다.</x:v>
      </x:c>
    </x:row>
    <x:row r="8">
      <x:c r="A8" s="38" t="str">
        <x:v>현재 활성</x:v>
      </x:c>
      <x:c r="B8" s="38" t="str">
        <x:v>물리1 역학 총괄평가, 물리1 전자기/파동 총괄평가</x:v>
      </x:c>
    </x:row>
    <x:row r="9">
      <x:c r="A9" s="38" t="str">
        <x:v>준비 중</x:v>
      </x:c>
      <x:c r="B9" s="38" t="str">
        <x:v>물리2 역학, 물리2 전자기/파동, 물리1심화 총괄평가</x:v>
      </x:c>
    </x:row>
    <x:row r="10">
      <x:c r="A10" s="38" t="str">
        <x:v>개인정보</x:v>
      </x:c>
      <x:c r="B10" s="38" t="str">
        <x:v>공개 GitHub에는 Reports 데이터를 올리지 마세요. Google Sheets를 학생 데이터 원본으로 사용합니다.</x:v>
      </x:c>
    </x:row>
    <x:row r="11">
      <x:c r="A11" s="38" t="str">
        <x:v>중요</x:v>
      </x:c>
      <x:c r="B11" s="38" t="str">
        <x:v>기존 시스템에 적용할 때 Code.gs의 ensureSheetSchema_가 헤더명 기준으로 기존 데이터를 안전 재배치합니다. 그래도 적용 전 Reports 백업을 권장합니다.</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24" hidden="0" customWidth="1"/>
    <x:col min="3" max="3" width="12" hidden="0" customWidth="1"/>
  </x:cols>
  <x:sheetData>
    <x:row r="1" ht="28" customHeight="1">
      <x:c r="A1" s="25" t="str">
        <x:v>CourseId</x:v>
      </x:c>
      <x:c r="B1" s="47" t="str">
        <x:v>CourseName</x:v>
      </x:c>
      <x:c r="C1" s="26" t="str">
        <x:v>Active</x:v>
      </x:c>
    </x:row>
    <x:row r="2">
      <x:c r="A2" s="56" t="str">
        <x:v>physics1-basic</x:v>
      </x:c>
      <x:c r="B2" s="56" t="str">
        <x:v>물리1</x:v>
      </x:c>
      <x:c r="C2" s="57" t="b">
        <x:v>1</x:v>
      </x:c>
    </x:row>
    <x:row r="3">
      <x:c r="A3" s="56" t="str">
        <x:v>physics1-advanced</x:v>
      </x:c>
      <x:c r="B3" s="56" t="str">
        <x:v>물리1심화</x:v>
      </x:c>
      <x:c r="C3" s="57" t="b">
        <x:v>1</x:v>
      </x:c>
    </x:row>
    <x:row r="4">
      <x:c r="A4" s="56" t="str">
        <x:v>physics2-basic</x:v>
      </x:c>
      <x:c r="B4" s="56" t="str">
        <x:v>물리2</x:v>
      </x:c>
      <x:c r="C4" s="57" t="b">
        <x:v>1</x:v>
      </x:c>
    </x:row>
  </x:sheetData>
  <x:dataValidations count="1">
    <x:dataValidation type="list" sqref="C2:C200">
      <x:formula1>"TRUE,FALSE"</x:formula1>
    </x:dataValidation>
  </x:dataValidations>
  <x:pageMargins left="0.7" right="0.7" top="0.75" bottom="0.75" header="0.3" footer="0.3"/>
  <x:tableParts count="1">
    <x:tablePart xmlns:r="http://schemas.openxmlformats.org/officeDocument/2006/relationships" r:id="R59a1019a008e456a"/>
  </x:tableParts>
</x:worksheet>
</file>

<file path=xl/worksheets/sheet3.xml><?xml version="1.0" encoding="utf-8"?>
<x:worksheet xmlns:x="http://schemas.openxmlformats.org/spreadsheetml/2006/main">
  <x:sheetFormatPr defaultRowHeight="15"/>
  <x:cols>
    <x:col min="1" max="1" width="32" hidden="0" customWidth="1"/>
    <x:col min="2" max="2" width="24" hidden="0" customWidth="1"/>
    <x:col min="3" max="3" width="9" hidden="0" customWidth="1"/>
    <x:col min="4" max="4" width="32" hidden="0" customWidth="1"/>
    <x:col min="5" max="5" width="24" hidden="0" customWidth="1"/>
    <x:col min="6" max="6" width="18" hidden="0" customWidth="1"/>
    <x:col min="7" max="7" width="18" hidden="0" customWidth="1"/>
    <x:col min="8" max="8" width="14" hidden="0" customWidth="1"/>
    <x:col min="9" max="9" width="12" hidden="0" customWidth="1"/>
    <x:col min="10" max="10" width="11" hidden="0" customWidth="1"/>
    <x:col min="11" max="11" width="36" hidden="0" customWidth="1"/>
    <x:col min="12" max="12" width="36" hidden="0" customWidth="1"/>
    <x:col min="13" max="13" width="16" hidden="0" customWidth="1"/>
    <x:col min="14" max="14" width="20" hidden="0" customWidth="1"/>
    <x:col min="15" max="15" width="16" hidden="0" customWidth="1"/>
    <x:col min="16" max="16" width="42" hidden="0" customWidth="1"/>
    <x:col min="17" max="17" width="48" hidden="0" customWidth="1"/>
    <x:col min="18" max="18" width="38" hidden="0" customWidth="1"/>
    <x:col min="19" max="19" width="42" hidden="0" customWidth="1"/>
    <x:col min="20" max="20" width="32" hidden="0" customWidth="1"/>
    <x:col min="21" max="21" width="30" hidden="0" customWidth="1"/>
    <x:col min="22" max="22" width="40" hidden="0" customWidth="1"/>
    <x:col min="23" max="23" width="12" hidden="0" customWidth="1"/>
  </x:cols>
  <x:sheetData>
    <x:row r="1" ht="28" customHeight="1">
      <x:c r="A1" s="25" t="str">
        <x:v>ExamId</x:v>
      </x:c>
      <x:c r="B1" s="47" t="str">
        <x:v>CourseId</x:v>
      </x:c>
      <x:c r="C1" s="47" t="str">
        <x:v>Round</x:v>
      </x:c>
      <x:c r="D1" s="47" t="str">
        <x:v>Title</x:v>
      </x:c>
      <x:c r="E1" s="47" t="str">
        <x:v>ShortTitle</x:v>
      </x:c>
      <x:c r="F1" s="47" t="str">
        <x:v>AssessmentType</x:v>
      </x:c>
      <x:c r="G1" s="47" t="str">
        <x:v>Section</x:v>
      </x:c>
      <x:c r="H1" s="47" t="str">
        <x:v>ExamDate</x:v>
      </x:c>
      <x:c r="I1" s="47" t="str">
        <x:v>QuestionCount</x:v>
      </x:c>
      <x:c r="J1" s="47" t="str">
        <x:v>MaxScore</x:v>
      </x:c>
      <x:c r="K1" s="47" t="str">
        <x:v>ExamPDF</x:v>
      </x:c>
      <x:c r="L1" s="47" t="str">
        <x:v>SolutionPDF</x:v>
      </x:c>
      <x:c r="M1" s="47" t="str">
        <x:v>ReviewStatus</x:v>
      </x:c>
      <x:c r="N1" s="47" t="str">
        <x:v>ConfigVersion</x:v>
      </x:c>
      <x:c r="O1" s="47" t="str">
        <x:v>Status</x:v>
      </x:c>
      <x:c r="P1" s="47" t="str">
        <x:v>PagesJSON</x:v>
      </x:c>
      <x:c r="Q1" s="47" t="str">
        <x:v>CoreNoteJSON</x:v>
      </x:c>
      <x:c r="R1" s="47" t="str">
        <x:v>InputProfileJSON</x:v>
      </x:c>
      <x:c r="S1" s="47" t="str">
        <x:v>HistoryExamIdsJSON</x:v>
      </x:c>
      <x:c r="T1" s="47" t="str">
        <x:v>HistoryLabel</x:v>
      </x:c>
      <x:c r="U1" s="47" t="str">
        <x:v>SourceTitle</x:v>
      </x:c>
      <x:c r="V1" s="47" t="str">
        <x:v>SourceNote</x:v>
      </x:c>
      <x:c r="W1" s="26" t="str">
        <x:v>DisplayOrder</x:v>
      </x:c>
    </x:row>
    <x:row r="2">
      <x:c r="A2" s="56" t="str">
        <x:v>physics1-basic-r02</x:v>
      </x:c>
      <x:c r="B2" s="56" t="str">
        <x:v>physics1-basic</x:v>
      </x:c>
      <x:c r="C2" s="56" t="n">
        <x:v>2</x:v>
      </x:c>
      <x:c r="D2" s="56" t="str">
        <x:v>물리1 2회차 복습 테스트</x:v>
      </x:c>
      <x:c r="E2" s="56" t="str"/>
      <x:c r="F2" s="56" t="str">
        <x:v>weekly</x:v>
      </x:c>
      <x:c r="G2" s="56" t="str"/>
      <x:c r="H2" s="56" t="str"/>
      <x:c r="I2" s="56" t="n">
        <x:v>8</x:v>
      </x:c>
      <x:c r="J2" s="56" t="n">
        <x:v>100</x:v>
      </x:c>
      <x:c r="K2" s="56" t="str">
        <x:v>assets/documents/physics1/r02.pdf</x:v>
      </x:c>
      <x:c r="L2" s="56" t="str"/>
      <x:c r="M2" s="56" t="str">
        <x:v>verified</x:v>
      </x:c>
      <x:c r="N2" s="56" t="str">
        <x:v>2026.08.10-1</x:v>
      </x:c>
      <x:c r="O2" s="56" t="str">
        <x:v>ready</x:v>
      </x:c>
      <x:c r="P2" s="56" t="str">
        <x:v>["assets/pages/physics1/r02-p1.png"]</x:v>
      </x:c>
      <x:c r="Q2" s="56" t="str">
        <x:v>{"summary":"변위·이동 거리·속도·가속도를 그래프의 높이, 기울기, 넓이로 구분하는 회차","concepts":["s-t 그래프의 기울기는 속도","이동 거리 그래프의 기울기는 속력","방향 전환 시 속도는 0이지만 이동 거리는 감소하지 않음","평균 속력과 평균 속도의 분모는 같아도 분자가 다름"],"formulas":["v_avg=총 변위/총 시간","평균 속력=총 이동 거리/총 시간","a_avg=Δv/Δt","Δv=∫a dt, Δs=∫v dt"],"mistakes":["그래프 높이와 기울기를 혼동","왕복 평균 속력을 산술평균으로 계산","가속도 그래프 넓이를 곧바로 변위로 해석"],"checklist":["방향을 먼저 +/−로 정했는가?","이동 거리와 변위를 구분했는가?","그래프에서 묻는 양이 높이·기울기·넓이 중 무엇인지 확인했는가?"]}</x:v>
      </x:c>
      <x:c r="R2" s="56" t="str">
        <x:v>{}</x:v>
      </x:c>
      <x:c r="S2" s="56" t="str">
        <x:v>[]</x:v>
      </x:c>
      <x:c r="T2" s="56" t="str"/>
      <x:c r="U2" s="56" t="str">
        <x:v>물리1 2회차 복습 테스트</x:v>
      </x:c>
      <x:c r="V2" s="56" t="str"/>
      <x:c r="W2" s="56" t="str"/>
    </x:row>
    <x:row r="3">
      <x:c r="A3" s="56" t="str">
        <x:v>physics1-basic-r03</x:v>
      </x:c>
      <x:c r="B3" s="56" t="str">
        <x:v>physics1-basic</x:v>
      </x:c>
      <x:c r="C3" s="56" t="n">
        <x:v>3</x:v>
      </x:c>
      <x:c r="D3" s="56" t="str">
        <x:v>물리1 3회차 복습 테스트</x:v>
      </x:c>
      <x:c r="E3" s="56" t="str"/>
      <x:c r="F3" s="56" t="str">
        <x:v>weekly</x:v>
      </x:c>
      <x:c r="G3" s="56" t="str"/>
      <x:c r="H3" s="56" t="str"/>
      <x:c r="I3" s="56" t="n">
        <x:v>7</x:v>
      </x:c>
      <x:c r="J3" s="56" t="n">
        <x:v>100</x:v>
      </x:c>
      <x:c r="K3" s="56" t="str">
        <x:v>assets/documents/physics1/r03-source-title-quiz02.pdf</x:v>
      </x:c>
      <x:c r="L3" s="56" t="str"/>
      <x:c r="M3" s="56" t="str">
        <x:v>needs-review</x:v>
      </x:c>
      <x:c r="N3" s="56" t="str">
        <x:v>2026.08.10-1</x:v>
      </x:c>
      <x:c r="O3" s="56" t="str">
        <x:v>ready</x:v>
      </x:c>
      <x:c r="P3" s="56" t="str">
        <x:v>["assets/pages/physics1/r03-p1.png"]</x:v>
      </x:c>
      <x:c r="Q3" s="56" t="str">
        <x:v>{"summary":"속도 그래프의 평균량, 벡터 성분, 상대속도, 시간기록계와 등가속도 운동","concepts":["v-t 그래프의 넓이는 변위","벡터는 성분으로 계산","상대속도는 대상 속도-관찰자 속도","시간기록계의 구간 중심 시각을 이용한 가속도"],"formulas":["v_rel=v_object-v_observer","a=(v_f-v_i)/Δt","v²-v₀²=2as","x=v₀t+½at²"],"mistakes":["남풍·북풍의 '오는 방향'과 공기 이동 방향 혼동","타점 수와 시간 간격 수 혼동","s-t 개형만 보고 정확한 함수식을 단정"],"checklist":["벡터의 x,y 성분 부호를 썼는가?","50 Hz에서 1간격=0.02 s를 확인했는가?","방향 전환 시 v=0을 찾았는가?"]}</x:v>
      </x:c>
      <x:c r="R3" s="56" t="str">
        <x:v>{}</x:v>
      </x:c>
      <x:c r="S3" s="56" t="str">
        <x:v>[]</x:v>
      </x:c>
      <x:c r="T3" s="56" t="str"/>
      <x:c r="U3" s="56" t="str">
        <x:v>물리1 Quiz(02)</x:v>
      </x:c>
      <x:c r="V3" s="56" t="str">
        <x:v>업로드된 7개 파일을 2~8회 순서로 적용. 원문 표지는 Quiz(02)로 되어 있어 3회차로 교정·매핑함.</x:v>
      </x:c>
      <x:c r="W3" s="56" t="str"/>
    </x:row>
    <x:row r="4">
      <x:c r="A4" s="56" t="str">
        <x:v>physics1-basic-r04</x:v>
      </x:c>
      <x:c r="B4" s="56" t="str">
        <x:v>physics1-basic</x:v>
      </x:c>
      <x:c r="C4" s="56" t="n">
        <x:v>4</x:v>
      </x:c>
      <x:c r="D4" s="56" t="str">
        <x:v>물리1 4회차 복습 테스트</x:v>
      </x:c>
      <x:c r="E4" s="56" t="str"/>
      <x:c r="F4" s="56" t="str">
        <x:v>weekly</x:v>
      </x:c>
      <x:c r="G4" s="56" t="str"/>
      <x:c r="H4" s="56" t="str"/>
      <x:c r="I4" s="56" t="n">
        <x:v>9</x:v>
      </x:c>
      <x:c r="J4" s="56" t="n">
        <x:v>100</x:v>
      </x:c>
      <x:c r="K4" s="56" t="str">
        <x:v>assets/documents/physics1/r04.pdf</x:v>
      </x:c>
      <x:c r="L4" s="56" t="str"/>
      <x:c r="M4" s="56" t="str">
        <x:v>corrected</x:v>
      </x:c>
      <x:c r="N4" s="56" t="str">
        <x:v>2026.08.10-1</x:v>
      </x:c>
      <x:c r="O4" s="56" t="str">
        <x:v>ready</x:v>
      </x:c>
      <x:c r="P4" s="56" t="str">
        <x:v>["assets/pages/physics1/r04-p1.png"]</x:v>
      </x:c>
      <x:c r="Q4" s="56" t="str">
        <x:v>{"summary":"뉴턴 운동 법칙, 힘의 합성, 작용·반작용, 평형과 경사면","concepts":["등속운동이면 알짜힘 0","작용·반작용은 서로 다른 물체","평형 힘은 같은 물체에 작용","경사면에서는 중력을 평행·수직 성분으로 분해"],"formulas":["ΣF=ma","F_net=√(F_x²+F_y²)","mg∥=mgsinθ","mg⊥=mgcosθ"],"mistakes":["작용·반작용과 평형을 같은 개념으로 봄","각도의 기준선 확인 없이 sin·cos 선택","마찰 조건이 없는 문제를 그대로 수치화"],"checklist":["자유물체도를 그렸는가?","각 힘이 어느 물체에 작용하는지 썼는가?","수평·연직 또는 경사면 축으로 나눴는가?"]}</x:v>
      </x:c>
      <x:c r="R4" s="56" t="str">
        <x:v>{}</x:v>
      </x:c>
      <x:c r="S4" s="56" t="str">
        <x:v>[]</x:v>
      </x:c>
      <x:c r="T4" s="56" t="str"/>
      <x:c r="U4" s="56" t="str">
        <x:v>물리1 4회차 복습 테스트</x:v>
      </x:c>
      <x:c r="V4" s="56" t="str"/>
      <x:c r="W4" s="56" t="str"/>
    </x:row>
    <x:row r="5">
      <x:c r="A5" s="56" t="str">
        <x:v>physics1-basic-r05</x:v>
      </x:c>
      <x:c r="B5" s="56" t="str">
        <x:v>physics1-basic</x:v>
      </x:c>
      <x:c r="C5" s="56" t="n">
        <x:v>5</x:v>
      </x:c>
      <x:c r="D5" s="56" t="str">
        <x:v>물리1 5회차 중간평가</x:v>
      </x:c>
      <x:c r="E5" s="56" t="str"/>
      <x:c r="F5" s="56" t="str">
        <x:v>weekly</x:v>
      </x:c>
      <x:c r="G5" s="56" t="str"/>
      <x:c r="H5" s="56" t="str"/>
      <x:c r="I5" s="56" t="n">
        <x:v>15</x:v>
      </x:c>
      <x:c r="J5" s="56" t="n">
        <x:v>100</x:v>
      </x:c>
      <x:c r="K5" s="56" t="str">
        <x:v>assets/documents/physics1/r05.pdf</x:v>
      </x:c>
      <x:c r="L5" s="56" t="str"/>
      <x:c r="M5" s="56" t="str">
        <x:v>needs-review</x:v>
      </x:c>
      <x:c r="N5" s="56" t="str">
        <x:v>2026.08.10-1</x:v>
      </x:c>
      <x:c r="O5" s="56" t="str">
        <x:v>ready</x:v>
      </x:c>
      <x:c r="P5" s="56" t="str">
        <x:v>["assets/pages/physics1/r05-p1.png","assets/pages/physics1/r05-p2.png"]</x:v>
      </x:c>
      <x:c r="Q5" s="56" t="str">
        <x:v>{"summary":"정지·운동 마찰, 연결된 물체, 겉보기 무게와 누적 복습","concepts":["정지마찰력은 필요한 만큼 변함","움직이기 시작하면 운동마찰계수 사용","연결된 물체는 공통 가속도","엘리베이터 겉보기 무게는 속도보다 가속도 방향이 중요"],"formulas":["f_s,max=μ_sN","f_k=μ_kN","N=m(g+a_y)","a=ΣF/Σm"],"mistakes":["정지마찰력을 항상 최대값으로 사용","비스듬한 당김에서도 N=mg로 둠","도르래 문제에서 T=mg로 고정","추가 힘 방향이 없는 문항을 임의 해석"],"checklist":["정지 여부를 먼저 판정했는가?","전체 계와 개별 물체를 각각 분리했는가?","가속 구간의 부호를 그래프에서 읽었는가?"]}</x:v>
      </x:c>
      <x:c r="R5" s="56" t="str">
        <x:v>{}</x:v>
      </x:c>
      <x:c r="S5" s="56" t="str">
        <x:v>[]</x:v>
      </x:c>
      <x:c r="T5" s="56" t="str"/>
      <x:c r="U5" s="56" t="str">
        <x:v>물리1 5회차 중간평가</x:v>
      </x:c>
      <x:c r="V5" s="56" t="str"/>
      <x:c r="W5" s="56" t="str"/>
    </x:row>
    <x:row r="6">
      <x:c r="A6" s="56" t="str">
        <x:v>physics1-basic-r06</x:v>
      </x:c>
      <x:c r="B6" s="56" t="str">
        <x:v>physics1-basic</x:v>
      </x:c>
      <x:c r="C6" s="56" t="n">
        <x:v>6</x:v>
      </x:c>
      <x:c r="D6" s="56" t="str">
        <x:v>물리1 6회차 복습 테스트</x:v>
      </x:c>
      <x:c r="E6" s="56" t="str"/>
      <x:c r="F6" s="56" t="str">
        <x:v>weekly</x:v>
      </x:c>
      <x:c r="G6" s="56" t="str"/>
      <x:c r="H6" s="56" t="str"/>
      <x:c r="I6" s="56" t="n">
        <x:v>6</x:v>
      </x:c>
      <x:c r="J6" s="56" t="n">
        <x:v>100</x:v>
      </x:c>
      <x:c r="K6" s="56" t="str">
        <x:v>assets/documents/physics1/r06.pdf</x:v>
      </x:c>
      <x:c r="L6" s="56" t="str"/>
      <x:c r="M6" s="56" t="str">
        <x:v>corrected</x:v>
      </x:c>
      <x:c r="N6" s="56" t="str">
        <x:v>2026.08.10-1</x:v>
      </x:c>
      <x:c r="O6" s="56" t="str">
        <x:v>ready</x:v>
      </x:c>
      <x:c r="P6" s="56" t="str">
        <x:v>["assets/pages/physics1/r06-p1.png"]</x:v>
      </x:c>
      <x:c r="Q6" s="56" t="str">
        <x:v>{"summary":"운동량 보존, 충격량, 평균 충격력과 탄성 충돌","concepts":["충돌 전후 전체 운동량 보존","충격량은 운동량 변화량","힘-시간 그래프 넓이는 충격량","충돌 시간을 늘리면 같은 충격량에서 평균힘 감소"],"formulas":["Σp_i=Σp_f","I=Δp=∫Fdt","F_avg=I/Δt","K=½mv²"],"mistakes":["반대 방향 속도 부호 누락","속력만 비교해 충격량 0으로 계산","삼각형 F-t 넓이에서 1/2 누락"],"checklist":["양의 방향을 표시했는가?","kg·m/s와 N·s가 같은 단위임을 확인했는가?","탄성 여부를 운동에너지로 검증했는가?"]}</x:v>
      </x:c>
      <x:c r="R6" s="56" t="str">
        <x:v>{}</x:v>
      </x:c>
      <x:c r="S6" s="56" t="str">
        <x:v>[]</x:v>
      </x:c>
      <x:c r="T6" s="56" t="str"/>
      <x:c r="U6" s="56" t="str">
        <x:v>물리1 6회차 복습 테스트</x:v>
      </x:c>
      <x:c r="V6" s="56" t="str"/>
      <x:c r="W6" s="56" t="str"/>
    </x:row>
    <x:row r="7">
      <x:c r="A7" s="56" t="str">
        <x:v>physics1-basic-r07</x:v>
      </x:c>
      <x:c r="B7" s="56" t="str">
        <x:v>physics1-basic</x:v>
      </x:c>
      <x:c r="C7" s="56" t="n">
        <x:v>7</x:v>
      </x:c>
      <x:c r="D7" s="56" t="str">
        <x:v>물리1 7회차 복습 테스트</x:v>
      </x:c>
      <x:c r="E7" s="56" t="str"/>
      <x:c r="F7" s="56" t="str">
        <x:v>weekly</x:v>
      </x:c>
      <x:c r="G7" s="56" t="str"/>
      <x:c r="H7" s="56" t="str"/>
      <x:c r="I7" s="56" t="n">
        <x:v>7</x:v>
      </x:c>
      <x:c r="J7" s="56" t="n">
        <x:v>100</x:v>
      </x:c>
      <x:c r="K7" s="56" t="str">
        <x:v>assets/documents/physics1/r07.pdf</x:v>
      </x:c>
      <x:c r="L7" s="56" t="str"/>
      <x:c r="M7" s="56" t="str">
        <x:v>corrected</x:v>
      </x:c>
      <x:c r="N7" s="56" t="str">
        <x:v>2026.08.10-1</x:v>
      </x:c>
      <x:c r="O7" s="56" t="str">
        <x:v>ready</x:v>
      </x:c>
      <x:c r="P7" s="56" t="str">
        <x:v>["assets/pages/physics1/r07-p1.png"]</x:v>
      </x:c>
      <x:c r="Q7" s="56" t="str">
        <x:v>{"summary":"반발계수와 운동에너지, 힘-거리 그래프, 일률과 마찰이 있는 일","concepts":["반발계수는 분리 상대속도/접근 상대속도","F-s 그래프 넓이는 일","알짜일은 운동에너지 변화","일률은 단위 시간당 에너지 전달"],"formulas":["e=(v₂-v₁)/(u₁-u₂)","W=∫Fds=ΔK","P=ΔE/Δt=ṁgh","W_f=-μNd"],"mistakes":["에너지비를 속력비로 그대로 사용","비스듬한 힘에서 수직항력 변화를 무시","컨베이어 물체 개수만 세어 경계 문제 발생"],"checklist":["일의 부호와 cosθ를 확인했는가?","초기 운동에너지가 0인지 확인했는가?","질량 유량 방식으로 일률을 재검산했는가?"]}</x:v>
      </x:c>
      <x:c r="R7" s="56" t="str">
        <x:v>{}</x:v>
      </x:c>
      <x:c r="S7" s="56" t="str">
        <x:v>[]</x:v>
      </x:c>
      <x:c r="T7" s="56" t="str"/>
      <x:c r="U7" s="56" t="str">
        <x:v>물리1 7회차 복습 테스트</x:v>
      </x:c>
      <x:c r="V7" s="56" t="str"/>
      <x:c r="W7" s="56" t="str"/>
    </x:row>
    <x:row r="8">
      <x:c r="A8" s="56" t="str">
        <x:v>physics1-basic-r08</x:v>
      </x:c>
      <x:c r="B8" s="56" t="str">
        <x:v>physics1-basic</x:v>
      </x:c>
      <x:c r="C8" s="56" t="n">
        <x:v>8</x:v>
      </x:c>
      <x:c r="D8" s="56" t="str">
        <x:v>물리1 8회차 복습 테스트</x:v>
      </x:c>
      <x:c r="E8" s="56" t="str"/>
      <x:c r="F8" s="56" t="str">
        <x:v>weekly</x:v>
      </x:c>
      <x:c r="G8" s="56" t="str"/>
      <x:c r="H8" s="56" t="str"/>
      <x:c r="I8" s="56" t="n">
        <x:v>6</x:v>
      </x:c>
      <x:c r="J8" s="56" t="n">
        <x:v>100</x:v>
      </x:c>
      <x:c r="K8" s="56" t="str">
        <x:v>assets/documents/physics1/r08.pdf</x:v>
      </x:c>
      <x:c r="L8" s="56" t="str"/>
      <x:c r="M8" s="56" t="str">
        <x:v>verified</x:v>
      </x:c>
      <x:c r="N8" s="56" t="str">
        <x:v>2026.08.10-1</x:v>
      </x:c>
      <x:c r="O8" s="56" t="str">
        <x:v>ready</x:v>
      </x:c>
      <x:c r="P8" s="56" t="str">
        <x:v>["assets/pages/physics1/r08-p1.png"]</x:v>
      </x:c>
      <x:c r="Q8" s="56" t="str">
        <x:v>{"summary":"일-에너지 정리와 역학적 에너지 보존, 용수철 에너지와 마찰열","concepts":["누적 일은 운동에너지 변화","진자의 높이차가 속력을 결정","용수철 F-x 그래프 기울기는 k, 넓이는 탄성에너지","최대 압축에서는 낙하 h+x 전체를 고려"],"formulas":["W=ΔK","U_s=½kx²","mgh+½mv²+½kx²=일정","Q_loss=E_i-E_f"],"mistakes":["F-x 넓이에서 1/2 누락","압축 중 중력의 추가 일을 빼먹음","J와 cal 변환 방향 오류","에너지비를 속력비로 착각"],"checklist":["기준 위치를 명확히 정했는가?","처음과 끝의 속도가 0인지 확인했는가?","마찰열을 구한 뒤 단위를 변환했는가?"]}</x:v>
      </x:c>
      <x:c r="R8" s="56" t="str">
        <x:v>{}</x:v>
      </x:c>
      <x:c r="S8" s="56" t="str">
        <x:v>[]</x:v>
      </x:c>
      <x:c r="T8" s="56" t="str"/>
      <x:c r="U8" s="56" t="str">
        <x:v>물리1 8회차 복습 테스트</x:v>
      </x:c>
      <x:c r="V8" s="56" t="str"/>
      <x:c r="W8" s="56" t="str"/>
    </x:row>
    <x:row r="9">
      <x:c r="A9" s="56" t="str">
        <x:v>physics1-basic-r10</x:v>
      </x:c>
      <x:c r="B9" s="56" t="str">
        <x:v>physics1-basic</x:v>
      </x:c>
      <x:c r="C9" s="56" t="n">
        <x:v>10</x:v>
      </x:c>
      <x:c r="D9" s="56" t="str">
        <x:v>물리1 10회차 복습 테스트</x:v>
      </x:c>
      <x:c r="E9" s="56" t="str"/>
      <x:c r="F9" s="56" t="str">
        <x:v>weekly</x:v>
      </x:c>
      <x:c r="G9" s="56" t="str"/>
      <x:c r="H9" s="56" t="str"/>
      <x:c r="I9" s="56" t="n">
        <x:v>0</x:v>
      </x:c>
      <x:c r="J9" s="56" t="n">
        <x:v>0</x:v>
      </x:c>
      <x:c r="K9" s="56" t="str"/>
      <x:c r="L9" s="56" t="str"/>
      <x:c r="M9" s="56" t="str">
        <x:v>not-uploaded</x:v>
      </x:c>
      <x:c r="N9" s="56" t="str">
        <x:v>2026.08.10-1</x:v>
      </x:c>
      <x:c r="O9" s="56" t="str">
        <x:v>coming-soon</x:v>
      </x:c>
      <x:c r="P9" s="56" t="str">
        <x:v>[]</x:v>
      </x:c>
      <x:c r="Q9" s="56" t="str">
        <x:v>{}</x:v>
      </x:c>
      <x:c r="R9" s="56" t="str">
        <x:v>{}</x:v>
      </x:c>
      <x:c r="S9" s="56" t="str">
        <x:v>[]</x:v>
      </x:c>
      <x:c r="T9" s="56" t="str"/>
      <x:c r="U9" s="56" t="str"/>
      <x:c r="V9" s="56" t="str"/>
      <x:c r="W9" s="56" t="str"/>
    </x:row>
    <x:row r="10">
      <x:c r="A10" s="56" t="str">
        <x:v>physics1-basic-r11</x:v>
      </x:c>
      <x:c r="B10" s="56" t="str">
        <x:v>physics1-basic</x:v>
      </x:c>
      <x:c r="C10" s="56" t="n">
        <x:v>11</x:v>
      </x:c>
      <x:c r="D10" s="56" t="str">
        <x:v>물리1 11회차 복습 테스트</x:v>
      </x:c>
      <x:c r="E10" s="56" t="str"/>
      <x:c r="F10" s="56" t="str">
        <x:v>weekly</x:v>
      </x:c>
      <x:c r="G10" s="56" t="str"/>
      <x:c r="H10" s="56" t="str"/>
      <x:c r="I10" s="56" t="n">
        <x:v>0</x:v>
      </x:c>
      <x:c r="J10" s="56" t="n">
        <x:v>0</x:v>
      </x:c>
      <x:c r="K10" s="56" t="str"/>
      <x:c r="L10" s="56" t="str"/>
      <x:c r="M10" s="56" t="str">
        <x:v>not-uploaded</x:v>
      </x:c>
      <x:c r="N10" s="56" t="str">
        <x:v>2026.08.10-1</x:v>
      </x:c>
      <x:c r="O10" s="56" t="str">
        <x:v>coming-soon</x:v>
      </x:c>
      <x:c r="P10" s="56" t="str">
        <x:v>[]</x:v>
      </x:c>
      <x:c r="Q10" s="56" t="str">
        <x:v>{}</x:v>
      </x:c>
      <x:c r="R10" s="56" t="str">
        <x:v>{}</x:v>
      </x:c>
      <x:c r="S10" s="56" t="str">
        <x:v>[]</x:v>
      </x:c>
      <x:c r="T10" s="56" t="str"/>
      <x:c r="U10" s="56" t="str"/>
      <x:c r="V10" s="56" t="str"/>
      <x:c r="W10" s="56" t="str"/>
    </x:row>
    <x:row r="11">
      <x:c r="A11" s="56" t="str">
        <x:v>physics1-basic-r12</x:v>
      </x:c>
      <x:c r="B11" s="56" t="str">
        <x:v>physics1-basic</x:v>
      </x:c>
      <x:c r="C11" s="56" t="n">
        <x:v>12</x:v>
      </x:c>
      <x:c r="D11" s="56" t="str">
        <x:v>물리1 12회차 복습 테스트</x:v>
      </x:c>
      <x:c r="E11" s="56" t="str"/>
      <x:c r="F11" s="56" t="str">
        <x:v>weekly</x:v>
      </x:c>
      <x:c r="G11" s="56" t="str"/>
      <x:c r="H11" s="56" t="str"/>
      <x:c r="I11" s="56" t="n">
        <x:v>0</x:v>
      </x:c>
      <x:c r="J11" s="56" t="n">
        <x:v>0</x:v>
      </x:c>
      <x:c r="K11" s="56" t="str"/>
      <x:c r="L11" s="56" t="str"/>
      <x:c r="M11" s="56" t="str">
        <x:v>not-uploaded</x:v>
      </x:c>
      <x:c r="N11" s="56" t="str">
        <x:v>2026.08.10-1</x:v>
      </x:c>
      <x:c r="O11" s="56" t="str">
        <x:v>coming-soon</x:v>
      </x:c>
      <x:c r="P11" s="56" t="str">
        <x:v>[]</x:v>
      </x:c>
      <x:c r="Q11" s="56" t="str">
        <x:v>{}</x:v>
      </x:c>
      <x:c r="R11" s="56" t="str">
        <x:v>{}</x:v>
      </x:c>
      <x:c r="S11" s="56" t="str">
        <x:v>[]</x:v>
      </x:c>
      <x:c r="T11" s="56" t="str"/>
      <x:c r="U11" s="56" t="str"/>
      <x:c r="V11" s="56" t="str"/>
      <x:c r="W11" s="56" t="str"/>
    </x:row>
    <x:row r="12">
      <x:c r="A12" s="56" t="str">
        <x:v>physics1-basic-r13</x:v>
      </x:c>
      <x:c r="B12" s="56" t="str">
        <x:v>physics1-basic</x:v>
      </x:c>
      <x:c r="C12" s="56" t="n">
        <x:v>13</x:v>
      </x:c>
      <x:c r="D12" s="56" t="str">
        <x:v>물리1 13회차 복습 테스트</x:v>
      </x:c>
      <x:c r="E12" s="56" t="str"/>
      <x:c r="F12" s="56" t="str">
        <x:v>weekly</x:v>
      </x:c>
      <x:c r="G12" s="56" t="str"/>
      <x:c r="H12" s="56" t="str"/>
      <x:c r="I12" s="56" t="n">
        <x:v>0</x:v>
      </x:c>
      <x:c r="J12" s="56" t="n">
        <x:v>0</x:v>
      </x:c>
      <x:c r="K12" s="56" t="str"/>
      <x:c r="L12" s="56" t="str"/>
      <x:c r="M12" s="56" t="str">
        <x:v>not-uploaded</x:v>
      </x:c>
      <x:c r="N12" s="56" t="str">
        <x:v>2026.08.10-1</x:v>
      </x:c>
      <x:c r="O12" s="56" t="str">
        <x:v>coming-soon</x:v>
      </x:c>
      <x:c r="P12" s="56" t="str">
        <x:v>[]</x:v>
      </x:c>
      <x:c r="Q12" s="56" t="str">
        <x:v>{}</x:v>
      </x:c>
      <x:c r="R12" s="56" t="str">
        <x:v>{}</x:v>
      </x:c>
      <x:c r="S12" s="56" t="str">
        <x:v>[]</x:v>
      </x:c>
      <x:c r="T12" s="56" t="str"/>
      <x:c r="U12" s="56" t="str"/>
      <x:c r="V12" s="56" t="str"/>
      <x:c r="W12" s="56" t="str"/>
    </x:row>
    <x:row r="13">
      <x:c r="A13" s="56" t="str">
        <x:v>physics1-basic-r14</x:v>
      </x:c>
      <x:c r="B13" s="56" t="str">
        <x:v>physics1-basic</x:v>
      </x:c>
      <x:c r="C13" s="56" t="n">
        <x:v>14</x:v>
      </x:c>
      <x:c r="D13" s="56" t="str">
        <x:v>물리1 14회차 복습 테스트</x:v>
      </x:c>
      <x:c r="E13" s="56" t="str"/>
      <x:c r="F13" s="56" t="str">
        <x:v>weekly</x:v>
      </x:c>
      <x:c r="G13" s="56" t="str"/>
      <x:c r="H13" s="56" t="str"/>
      <x:c r="I13" s="56" t="n">
        <x:v>0</x:v>
      </x:c>
      <x:c r="J13" s="56" t="n">
        <x:v>0</x:v>
      </x:c>
      <x:c r="K13" s="56" t="str"/>
      <x:c r="L13" s="56" t="str"/>
      <x:c r="M13" s="56" t="str">
        <x:v>not-uploaded</x:v>
      </x:c>
      <x:c r="N13" s="56" t="str">
        <x:v>2026.08.10-1</x:v>
      </x:c>
      <x:c r="O13" s="56" t="str">
        <x:v>coming-soon</x:v>
      </x:c>
      <x:c r="P13" s="56" t="str">
        <x:v>[]</x:v>
      </x:c>
      <x:c r="Q13" s="56" t="str">
        <x:v>{}</x:v>
      </x:c>
      <x:c r="R13" s="56" t="str">
        <x:v>{}</x:v>
      </x:c>
      <x:c r="S13" s="56" t="str">
        <x:v>[]</x:v>
      </x:c>
      <x:c r="T13" s="56" t="str"/>
      <x:c r="U13" s="56" t="str"/>
      <x:c r="V13" s="56" t="str"/>
      <x:c r="W13" s="56" t="str"/>
    </x:row>
    <x:row r="14">
      <x:c r="A14" s="56" t="str">
        <x:v>physics1-basic-r15</x:v>
      </x:c>
      <x:c r="B14" s="56" t="str">
        <x:v>physics1-basic</x:v>
      </x:c>
      <x:c r="C14" s="56" t="n">
        <x:v>15</x:v>
      </x:c>
      <x:c r="D14" s="56" t="str">
        <x:v>물리1 15회차 복습 테스트</x:v>
      </x:c>
      <x:c r="E14" s="56" t="str"/>
      <x:c r="F14" s="56" t="str">
        <x:v>weekly</x:v>
      </x:c>
      <x:c r="G14" s="56" t="str"/>
      <x:c r="H14" s="56" t="str"/>
      <x:c r="I14" s="56" t="n">
        <x:v>0</x:v>
      </x:c>
      <x:c r="J14" s="56" t="n">
        <x:v>0</x:v>
      </x:c>
      <x:c r="K14" s="56" t="str"/>
      <x:c r="L14" s="56" t="str"/>
      <x:c r="M14" s="56" t="str">
        <x:v>not-uploaded</x:v>
      </x:c>
      <x:c r="N14" s="56" t="str">
        <x:v>2026.08.10-1</x:v>
      </x:c>
      <x:c r="O14" s="56" t="str">
        <x:v>coming-soon</x:v>
      </x:c>
      <x:c r="P14" s="56" t="str">
        <x:v>[]</x:v>
      </x:c>
      <x:c r="Q14" s="56" t="str">
        <x:v>{}</x:v>
      </x:c>
      <x:c r="R14" s="56" t="str">
        <x:v>{}</x:v>
      </x:c>
      <x:c r="S14" s="56" t="str">
        <x:v>[]</x:v>
      </x:c>
      <x:c r="T14" s="56" t="str"/>
      <x:c r="U14" s="56" t="str"/>
      <x:c r="V14" s="56" t="str"/>
      <x:c r="W14" s="56" t="str"/>
    </x:row>
    <x:row r="15">
      <x:c r="A15" s="56" t="str">
        <x:v>physics1-basic-r16</x:v>
      </x:c>
      <x:c r="B15" s="56" t="str">
        <x:v>physics1-basic</x:v>
      </x:c>
      <x:c r="C15" s="56" t="n">
        <x:v>16</x:v>
      </x:c>
      <x:c r="D15" s="56" t="str">
        <x:v>물리1 16회차 복습 테스트</x:v>
      </x:c>
      <x:c r="E15" s="56" t="str"/>
      <x:c r="F15" s="56" t="str">
        <x:v>weekly</x:v>
      </x:c>
      <x:c r="G15" s="56" t="str"/>
      <x:c r="H15" s="56" t="str"/>
      <x:c r="I15" s="56" t="n">
        <x:v>0</x:v>
      </x:c>
      <x:c r="J15" s="56" t="n">
        <x:v>0</x:v>
      </x:c>
      <x:c r="K15" s="56" t="str"/>
      <x:c r="L15" s="56" t="str"/>
      <x:c r="M15" s="56" t="str">
        <x:v>not-uploaded</x:v>
      </x:c>
      <x:c r="N15" s="56" t="str">
        <x:v>2026.08.10-1</x:v>
      </x:c>
      <x:c r="O15" s="56" t="str">
        <x:v>coming-soon</x:v>
      </x:c>
      <x:c r="P15" s="56" t="str">
        <x:v>[]</x:v>
      </x:c>
      <x:c r="Q15" s="56" t="str">
        <x:v>{}</x:v>
      </x:c>
      <x:c r="R15" s="56" t="str">
        <x:v>{}</x:v>
      </x:c>
      <x:c r="S15" s="56" t="str">
        <x:v>[]</x:v>
      </x:c>
      <x:c r="T15" s="56" t="str"/>
      <x:c r="U15" s="56" t="str"/>
      <x:c r="V15" s="56" t="str"/>
      <x:c r="W15" s="56" t="str"/>
    </x:row>
    <x:row r="16">
      <x:c r="A16" s="56" t="str">
        <x:v>physics1-advanced-r02</x:v>
      </x:c>
      <x:c r="B16" s="56" t="str">
        <x:v>physics1-advanced</x:v>
      </x:c>
      <x:c r="C16" s="56" t="n">
        <x:v>2</x:v>
      </x:c>
      <x:c r="D16" s="56" t="str">
        <x:v>물리1심화 2회차 복습 테스트</x:v>
      </x:c>
      <x:c r="E16" s="56" t="str"/>
      <x:c r="F16" s="56" t="str">
        <x:v>weekly</x:v>
      </x:c>
      <x:c r="G16" s="56" t="str"/>
      <x:c r="H16" s="56" t="str"/>
      <x:c r="I16" s="56" t="n">
        <x:v>0</x:v>
      </x:c>
      <x:c r="J16" s="56" t="n">
        <x:v>0</x:v>
      </x:c>
      <x:c r="K16" s="56" t="str"/>
      <x:c r="L16" s="56" t="str"/>
      <x:c r="M16" s="56" t="str">
        <x:v>not-uploaded</x:v>
      </x:c>
      <x:c r="N16" s="56" t="str">
        <x:v>2026.08.10-1</x:v>
      </x:c>
      <x:c r="O16" s="56" t="str">
        <x:v>coming-soon</x:v>
      </x:c>
      <x:c r="P16" s="56" t="str">
        <x:v>[]</x:v>
      </x:c>
      <x:c r="Q16" s="56" t="str">
        <x:v>{}</x:v>
      </x:c>
      <x:c r="R16" s="56" t="str">
        <x:v>{}</x:v>
      </x:c>
      <x:c r="S16" s="56" t="str">
        <x:v>[]</x:v>
      </x:c>
      <x:c r="T16" s="56" t="str"/>
      <x:c r="U16" s="56" t="str"/>
      <x:c r="V16" s="56" t="str"/>
      <x:c r="W16" s="56" t="str"/>
    </x:row>
    <x:row r="17">
      <x:c r="A17" s="56" t="str">
        <x:v>physics1-advanced-r03</x:v>
      </x:c>
      <x:c r="B17" s="56" t="str">
        <x:v>physics1-advanced</x:v>
      </x:c>
      <x:c r="C17" s="56" t="n">
        <x:v>3</x:v>
      </x:c>
      <x:c r="D17" s="56" t="str">
        <x:v>물리1심화 3회차 복습 테스트</x:v>
      </x:c>
      <x:c r="E17" s="56" t="str"/>
      <x:c r="F17" s="56" t="str">
        <x:v>weekly</x:v>
      </x:c>
      <x:c r="G17" s="56" t="str"/>
      <x:c r="H17" s="56" t="str"/>
      <x:c r="I17" s="56" t="n">
        <x:v>0</x:v>
      </x:c>
      <x:c r="J17" s="56" t="n">
        <x:v>0</x:v>
      </x:c>
      <x:c r="K17" s="56" t="str"/>
      <x:c r="L17" s="56" t="str"/>
      <x:c r="M17" s="56" t="str">
        <x:v>not-uploaded</x:v>
      </x:c>
      <x:c r="N17" s="56" t="str">
        <x:v>2026.08.10-1</x:v>
      </x:c>
      <x:c r="O17" s="56" t="str">
        <x:v>coming-soon</x:v>
      </x:c>
      <x:c r="P17" s="56" t="str">
        <x:v>[]</x:v>
      </x:c>
      <x:c r="Q17" s="56" t="str">
        <x:v>{}</x:v>
      </x:c>
      <x:c r="R17" s="56" t="str">
        <x:v>{}</x:v>
      </x:c>
      <x:c r="S17" s="56" t="str">
        <x:v>[]</x:v>
      </x:c>
      <x:c r="T17" s="56" t="str"/>
      <x:c r="U17" s="56" t="str"/>
      <x:c r="V17" s="56" t="str"/>
      <x:c r="W17" s="56" t="str"/>
    </x:row>
    <x:row r="18">
      <x:c r="A18" s="56" t="str">
        <x:v>physics1-advanced-r04</x:v>
      </x:c>
      <x:c r="B18" s="56" t="str">
        <x:v>physics1-advanced</x:v>
      </x:c>
      <x:c r="C18" s="56" t="n">
        <x:v>4</x:v>
      </x:c>
      <x:c r="D18" s="56" t="str">
        <x:v>물리1심화 4회차 복습 테스트</x:v>
      </x:c>
      <x:c r="E18" s="56" t="str"/>
      <x:c r="F18" s="56" t="str">
        <x:v>weekly</x:v>
      </x:c>
      <x:c r="G18" s="56" t="str"/>
      <x:c r="H18" s="56" t="str"/>
      <x:c r="I18" s="56" t="n">
        <x:v>0</x:v>
      </x:c>
      <x:c r="J18" s="56" t="n">
        <x:v>0</x:v>
      </x:c>
      <x:c r="K18" s="56" t="str"/>
      <x:c r="L18" s="56" t="str"/>
      <x:c r="M18" s="56" t="str">
        <x:v>not-uploaded</x:v>
      </x:c>
      <x:c r="N18" s="56" t="str">
        <x:v>2026.08.10-1</x:v>
      </x:c>
      <x:c r="O18" s="56" t="str">
        <x:v>coming-soon</x:v>
      </x:c>
      <x:c r="P18" s="56" t="str">
        <x:v>[]</x:v>
      </x:c>
      <x:c r="Q18" s="56" t="str">
        <x:v>{}</x:v>
      </x:c>
      <x:c r="R18" s="56" t="str">
        <x:v>{}</x:v>
      </x:c>
      <x:c r="S18" s="56" t="str">
        <x:v>[]</x:v>
      </x:c>
      <x:c r="T18" s="56" t="str"/>
      <x:c r="U18" s="56" t="str"/>
      <x:c r="V18" s="56" t="str"/>
      <x:c r="W18" s="56" t="str"/>
    </x:row>
    <x:row r="19">
      <x:c r="A19" s="56" t="str">
        <x:v>physics1-advanced-r05</x:v>
      </x:c>
      <x:c r="B19" s="56" t="str">
        <x:v>physics1-advanced</x:v>
      </x:c>
      <x:c r="C19" s="56" t="n">
        <x:v>5</x:v>
      </x:c>
      <x:c r="D19" s="56" t="str">
        <x:v>물리1심화 5회차 복습 테스트</x:v>
      </x:c>
      <x:c r="E19" s="56" t="str"/>
      <x:c r="F19" s="56" t="str">
        <x:v>weekly</x:v>
      </x:c>
      <x:c r="G19" s="56" t="str"/>
      <x:c r="H19" s="56" t="str"/>
      <x:c r="I19" s="56" t="n">
        <x:v>0</x:v>
      </x:c>
      <x:c r="J19" s="56" t="n">
        <x:v>0</x:v>
      </x:c>
      <x:c r="K19" s="56" t="str"/>
      <x:c r="L19" s="56" t="str"/>
      <x:c r="M19" s="56" t="str">
        <x:v>not-uploaded</x:v>
      </x:c>
      <x:c r="N19" s="56" t="str">
        <x:v>2026.08.10-1</x:v>
      </x:c>
      <x:c r="O19" s="56" t="str">
        <x:v>coming-soon</x:v>
      </x:c>
      <x:c r="P19" s="56" t="str">
        <x:v>[]</x:v>
      </x:c>
      <x:c r="Q19" s="56" t="str">
        <x:v>{}</x:v>
      </x:c>
      <x:c r="R19" s="56" t="str">
        <x:v>{}</x:v>
      </x:c>
      <x:c r="S19" s="56" t="str">
        <x:v>[]</x:v>
      </x:c>
      <x:c r="T19" s="56" t="str"/>
      <x:c r="U19" s="56" t="str"/>
      <x:c r="V19" s="56" t="str"/>
      <x:c r="W19" s="56" t="str"/>
    </x:row>
    <x:row r="20">
      <x:c r="A20" s="56" t="str">
        <x:v>physics1-advanced-r06</x:v>
      </x:c>
      <x:c r="B20" s="56" t="str">
        <x:v>physics1-advanced</x:v>
      </x:c>
      <x:c r="C20" s="56" t="n">
        <x:v>6</x:v>
      </x:c>
      <x:c r="D20" s="56" t="str">
        <x:v>물리1심화 6회차 복습 테스트</x:v>
      </x:c>
      <x:c r="E20" s="56" t="str"/>
      <x:c r="F20" s="56" t="str">
        <x:v>weekly</x:v>
      </x:c>
      <x:c r="G20" s="56" t="str"/>
      <x:c r="H20" s="56" t="str"/>
      <x:c r="I20" s="56" t="n">
        <x:v>0</x:v>
      </x:c>
      <x:c r="J20" s="56" t="n">
        <x:v>0</x:v>
      </x:c>
      <x:c r="K20" s="56" t="str"/>
      <x:c r="L20" s="56" t="str"/>
      <x:c r="M20" s="56" t="str">
        <x:v>not-uploaded</x:v>
      </x:c>
      <x:c r="N20" s="56" t="str">
        <x:v>2026.08.10-1</x:v>
      </x:c>
      <x:c r="O20" s="56" t="str">
        <x:v>coming-soon</x:v>
      </x:c>
      <x:c r="P20" s="56" t="str">
        <x:v>[]</x:v>
      </x:c>
      <x:c r="Q20" s="56" t="str">
        <x:v>{}</x:v>
      </x:c>
      <x:c r="R20" s="56" t="str">
        <x:v>{}</x:v>
      </x:c>
      <x:c r="S20" s="56" t="str">
        <x:v>[]</x:v>
      </x:c>
      <x:c r="T20" s="56" t="str"/>
      <x:c r="U20" s="56" t="str"/>
      <x:c r="V20" s="56" t="str"/>
      <x:c r="W20" s="56" t="str"/>
    </x:row>
    <x:row r="21">
      <x:c r="A21" s="56" t="str">
        <x:v>physics1-advanced-r07</x:v>
      </x:c>
      <x:c r="B21" s="56" t="str">
        <x:v>physics1-advanced</x:v>
      </x:c>
      <x:c r="C21" s="56" t="n">
        <x:v>7</x:v>
      </x:c>
      <x:c r="D21" s="56" t="str">
        <x:v>물리1심화 7회차 복습 테스트</x:v>
      </x:c>
      <x:c r="E21" s="56" t="str"/>
      <x:c r="F21" s="56" t="str">
        <x:v>weekly</x:v>
      </x:c>
      <x:c r="G21" s="56" t="str"/>
      <x:c r="H21" s="56" t="str"/>
      <x:c r="I21" s="56" t="n">
        <x:v>0</x:v>
      </x:c>
      <x:c r="J21" s="56" t="n">
        <x:v>0</x:v>
      </x:c>
      <x:c r="K21" s="56" t="str"/>
      <x:c r="L21" s="56" t="str"/>
      <x:c r="M21" s="56" t="str">
        <x:v>not-uploaded</x:v>
      </x:c>
      <x:c r="N21" s="56" t="str">
        <x:v>2026.08.10-2</x:v>
      </x:c>
      <x:c r="O21" s="56" t="str">
        <x:v>coming-soon</x:v>
      </x:c>
      <x:c r="P21" s="56" t="str">
        <x:v>[]</x:v>
      </x:c>
      <x:c r="Q21" s="56" t="str">
        <x:v>{}</x:v>
      </x:c>
      <x:c r="R21" s="56" t="str">
        <x:v>{}</x:v>
      </x:c>
      <x:c r="S21" s="56" t="str">
        <x:v>[]</x:v>
      </x:c>
      <x:c r="T21" s="56" t="str"/>
      <x:c r="U21" s="56" t="str"/>
      <x:c r="V21" s="56" t="str"/>
      <x:c r="W21" s="56" t="str"/>
    </x:row>
    <x:row r="22">
      <x:c r="A22" s="56" t="str">
        <x:v>physics2-basic-r01</x:v>
      </x:c>
      <x:c r="B22" s="56" t="str">
        <x:v>physics2-basic</x:v>
      </x:c>
      <x:c r="C22" s="56" t="n">
        <x:v>1</x:v>
      </x:c>
      <x:c r="D22" s="56" t="str">
        <x:v>물리2 1회차 복습 테스트</x:v>
      </x:c>
      <x:c r="E22" s="56" t="str"/>
      <x:c r="F22" s="56" t="str">
        <x:v>weekly</x:v>
      </x:c>
      <x:c r="G22" s="56" t="str"/>
      <x:c r="H22" s="56" t="str"/>
      <x:c r="I22" s="56" t="n">
        <x:v>0</x:v>
      </x:c>
      <x:c r="J22" s="56" t="n">
        <x:v>0</x:v>
      </x:c>
      <x:c r="K22" s="56" t="str"/>
      <x:c r="L22" s="56" t="str"/>
      <x:c r="M22" s="56" t="str">
        <x:v>not-uploaded</x:v>
      </x:c>
      <x:c r="N22" s="56" t="str">
        <x:v>2026.08.10-1</x:v>
      </x:c>
      <x:c r="O22" s="56" t="str">
        <x:v>coming-soon</x:v>
      </x:c>
      <x:c r="P22" s="56" t="str">
        <x:v>[]</x:v>
      </x:c>
      <x:c r="Q22" s="56" t="str">
        <x:v>{}</x:v>
      </x:c>
      <x:c r="R22" s="56" t="str">
        <x:v>{}</x:v>
      </x:c>
      <x:c r="S22" s="56" t="str">
        <x:v>[]</x:v>
      </x:c>
      <x:c r="T22" s="56" t="str"/>
      <x:c r="U22" s="56" t="str"/>
      <x:c r="V22" s="56" t="str"/>
      <x:c r="W22" s="56" t="str"/>
    </x:row>
    <x:row r="23">
      <x:c r="A23" s="56" t="str">
        <x:v>physics2-basic-r02</x:v>
      </x:c>
      <x:c r="B23" s="56" t="str">
        <x:v>physics2-basic</x:v>
      </x:c>
      <x:c r="C23" s="56" t="n">
        <x:v>2</x:v>
      </x:c>
      <x:c r="D23" s="56" t="str">
        <x:v>물리2 2회차 복습 테스트</x:v>
      </x:c>
      <x:c r="E23" s="56" t="str"/>
      <x:c r="F23" s="56" t="str">
        <x:v>weekly</x:v>
      </x:c>
      <x:c r="G23" s="56" t="str"/>
      <x:c r="H23" s="56" t="str"/>
      <x:c r="I23" s="56" t="n">
        <x:v>0</x:v>
      </x:c>
      <x:c r="J23" s="56" t="n">
        <x:v>0</x:v>
      </x:c>
      <x:c r="K23" s="56" t="str"/>
      <x:c r="L23" s="56" t="str"/>
      <x:c r="M23" s="56" t="str">
        <x:v>not-uploaded</x:v>
      </x:c>
      <x:c r="N23" s="56" t="str">
        <x:v>2026.08.10-1</x:v>
      </x:c>
      <x:c r="O23" s="56" t="str">
        <x:v>coming-soon</x:v>
      </x:c>
      <x:c r="P23" s="56" t="str">
        <x:v>[]</x:v>
      </x:c>
      <x:c r="Q23" s="56" t="str">
        <x:v>{}</x:v>
      </x:c>
      <x:c r="R23" s="56" t="str">
        <x:v>{}</x:v>
      </x:c>
      <x:c r="S23" s="56" t="str">
        <x:v>[]</x:v>
      </x:c>
      <x:c r="T23" s="56" t="str"/>
      <x:c r="U23" s="56" t="str"/>
      <x:c r="V23" s="56" t="str"/>
      <x:c r="W23" s="56" t="str"/>
    </x:row>
    <x:row r="24">
      <x:c r="A24" s="56" t="str">
        <x:v>physics2-basic-r03</x:v>
      </x:c>
      <x:c r="B24" s="56" t="str">
        <x:v>physics2-basic</x:v>
      </x:c>
      <x:c r="C24" s="56" t="n">
        <x:v>3</x:v>
      </x:c>
      <x:c r="D24" s="56" t="str">
        <x:v>물리2 3회차 복습 테스트</x:v>
      </x:c>
      <x:c r="E24" s="56" t="str"/>
      <x:c r="F24" s="56" t="str">
        <x:v>weekly</x:v>
      </x:c>
      <x:c r="G24" s="56" t="str"/>
      <x:c r="H24" s="56" t="str"/>
      <x:c r="I24" s="56" t="n">
        <x:v>0</x:v>
      </x:c>
      <x:c r="J24" s="56" t="n">
        <x:v>0</x:v>
      </x:c>
      <x:c r="K24" s="56" t="str"/>
      <x:c r="L24" s="56" t="str"/>
      <x:c r="M24" s="56" t="str">
        <x:v>not-uploaded</x:v>
      </x:c>
      <x:c r="N24" s="56" t="str">
        <x:v>2026.08.10-1</x:v>
      </x:c>
      <x:c r="O24" s="56" t="str">
        <x:v>coming-soon</x:v>
      </x:c>
      <x:c r="P24" s="56" t="str">
        <x:v>[]</x:v>
      </x:c>
      <x:c r="Q24" s="56" t="str">
        <x:v>{}</x:v>
      </x:c>
      <x:c r="R24" s="56" t="str">
        <x:v>{}</x:v>
      </x:c>
      <x:c r="S24" s="56" t="str">
        <x:v>[]</x:v>
      </x:c>
      <x:c r="T24" s="56" t="str"/>
      <x:c r="U24" s="56" t="str"/>
      <x:c r="V24" s="56" t="str"/>
      <x:c r="W24" s="56" t="str"/>
    </x:row>
    <x:row r="25">
      <x:c r="A25" s="56" t="str">
        <x:v>physics2-basic-r04</x:v>
      </x:c>
      <x:c r="B25" s="56" t="str">
        <x:v>physics2-basic</x:v>
      </x:c>
      <x:c r="C25" s="56" t="n">
        <x:v>4</x:v>
      </x:c>
      <x:c r="D25" s="56" t="str">
        <x:v>물리2 4회차 복습 테스트</x:v>
      </x:c>
      <x:c r="E25" s="56" t="str"/>
      <x:c r="F25" s="56" t="str">
        <x:v>weekly</x:v>
      </x:c>
      <x:c r="G25" s="56" t="str"/>
      <x:c r="H25" s="56" t="str"/>
      <x:c r="I25" s="56" t="n">
        <x:v>0</x:v>
      </x:c>
      <x:c r="J25" s="56" t="n">
        <x:v>0</x:v>
      </x:c>
      <x:c r="K25" s="56" t="str"/>
      <x:c r="L25" s="56" t="str"/>
      <x:c r="M25" s="56" t="str">
        <x:v>not-uploaded</x:v>
      </x:c>
      <x:c r="N25" s="56" t="str">
        <x:v>2026.08.10-1</x:v>
      </x:c>
      <x:c r="O25" s="56" t="str">
        <x:v>coming-soon</x:v>
      </x:c>
      <x:c r="P25" s="56" t="str">
        <x:v>[]</x:v>
      </x:c>
      <x:c r="Q25" s="56" t="str">
        <x:v>{}</x:v>
      </x:c>
      <x:c r="R25" s="56" t="str">
        <x:v>{}</x:v>
      </x:c>
      <x:c r="S25" s="56" t="str">
        <x:v>[]</x:v>
      </x:c>
      <x:c r="T25" s="56" t="str"/>
      <x:c r="U25" s="56" t="str"/>
      <x:c r="V25" s="56" t="str"/>
      <x:c r="W25" s="56" t="str"/>
    </x:row>
    <x:row r="26">
      <x:c r="A26" s="56" t="str">
        <x:v>physics2-basic-r05</x:v>
      </x:c>
      <x:c r="B26" s="56" t="str">
        <x:v>physics2-basic</x:v>
      </x:c>
      <x:c r="C26" s="56" t="n">
        <x:v>5</x:v>
      </x:c>
      <x:c r="D26" s="56" t="str">
        <x:v>물리2 5회차 복습 테스트</x:v>
      </x:c>
      <x:c r="E26" s="56" t="str"/>
      <x:c r="F26" s="56" t="str">
        <x:v>weekly</x:v>
      </x:c>
      <x:c r="G26" s="56" t="str"/>
      <x:c r="H26" s="56" t="str"/>
      <x:c r="I26" s="56" t="n">
        <x:v>0</x:v>
      </x:c>
      <x:c r="J26" s="56" t="n">
        <x:v>0</x:v>
      </x:c>
      <x:c r="K26" s="56" t="str"/>
      <x:c r="L26" s="56" t="str"/>
      <x:c r="M26" s="56" t="str">
        <x:v>not-uploaded</x:v>
      </x:c>
      <x:c r="N26" s="56" t="str">
        <x:v>2026.08.10-1</x:v>
      </x:c>
      <x:c r="O26" s="56" t="str">
        <x:v>coming-soon</x:v>
      </x:c>
      <x:c r="P26" s="56" t="str">
        <x:v>[]</x:v>
      </x:c>
      <x:c r="Q26" s="56" t="str">
        <x:v>{}</x:v>
      </x:c>
      <x:c r="R26" s="56" t="str">
        <x:v>{}</x:v>
      </x:c>
      <x:c r="S26" s="56" t="str">
        <x:v>[]</x:v>
      </x:c>
      <x:c r="T26" s="56" t="str"/>
      <x:c r="U26" s="56" t="str"/>
      <x:c r="V26" s="56" t="str"/>
      <x:c r="W26" s="56" t="str"/>
    </x:row>
    <x:row r="27">
      <x:c r="A27" s="56" t="str">
        <x:v>physics2-basic-r06</x:v>
      </x:c>
      <x:c r="B27" s="56" t="str">
        <x:v>physics2-basic</x:v>
      </x:c>
      <x:c r="C27" s="56" t="n">
        <x:v>6</x:v>
      </x:c>
      <x:c r="D27" s="56" t="str">
        <x:v>물리2 6회차 복습 테스트</x:v>
      </x:c>
      <x:c r="E27" s="56" t="str"/>
      <x:c r="F27" s="56" t="str">
        <x:v>weekly</x:v>
      </x:c>
      <x:c r="G27" s="56" t="str"/>
      <x:c r="H27" s="56" t="str"/>
      <x:c r="I27" s="56" t="n">
        <x:v>0</x:v>
      </x:c>
      <x:c r="J27" s="56" t="n">
        <x:v>0</x:v>
      </x:c>
      <x:c r="K27" s="56" t="str"/>
      <x:c r="L27" s="56" t="str"/>
      <x:c r="M27" s="56" t="str">
        <x:v>not-uploaded</x:v>
      </x:c>
      <x:c r="N27" s="56" t="str">
        <x:v>2026.08.10-1</x:v>
      </x:c>
      <x:c r="O27" s="56" t="str">
        <x:v>coming-soon</x:v>
      </x:c>
      <x:c r="P27" s="56" t="str">
        <x:v>[]</x:v>
      </x:c>
      <x:c r="Q27" s="56" t="str">
        <x:v>{}</x:v>
      </x:c>
      <x:c r="R27" s="56" t="str">
        <x:v>{}</x:v>
      </x:c>
      <x:c r="S27" s="56" t="str">
        <x:v>[]</x:v>
      </x:c>
      <x:c r="T27" s="56" t="str"/>
      <x:c r="U27" s="56" t="str"/>
      <x:c r="V27" s="56" t="str"/>
      <x:c r="W27" s="56" t="str"/>
    </x:row>
    <x:row r="28">
      <x:c r="A28" s="56" t="str">
        <x:v>physics2-basic-r07</x:v>
      </x:c>
      <x:c r="B28" s="56" t="str">
        <x:v>physics2-basic</x:v>
      </x:c>
      <x:c r="C28" s="56" t="n">
        <x:v>7</x:v>
      </x:c>
      <x:c r="D28" s="56" t="str">
        <x:v>물리2 7회차 복습 테스트</x:v>
      </x:c>
      <x:c r="E28" s="56" t="str"/>
      <x:c r="F28" s="56" t="str">
        <x:v>weekly</x:v>
      </x:c>
      <x:c r="G28" s="56" t="str"/>
      <x:c r="H28" s="56" t="str"/>
      <x:c r="I28" s="56" t="n">
        <x:v>0</x:v>
      </x:c>
      <x:c r="J28" s="56" t="n">
        <x:v>0</x:v>
      </x:c>
      <x:c r="K28" s="56" t="str"/>
      <x:c r="L28" s="56" t="str"/>
      <x:c r="M28" s="56" t="str">
        <x:v>not-uploaded</x:v>
      </x:c>
      <x:c r="N28" s="56" t="str">
        <x:v>2026.08.10-1</x:v>
      </x:c>
      <x:c r="O28" s="56" t="str">
        <x:v>coming-soon</x:v>
      </x:c>
      <x:c r="P28" s="56" t="str">
        <x:v>[]</x:v>
      </x:c>
      <x:c r="Q28" s="56" t="str">
        <x:v>{}</x:v>
      </x:c>
      <x:c r="R28" s="56" t="str">
        <x:v>{}</x:v>
      </x:c>
      <x:c r="S28" s="56" t="str">
        <x:v>[]</x:v>
      </x:c>
      <x:c r="T28" s="56" t="str"/>
      <x:c r="U28" s="56" t="str"/>
      <x:c r="V28" s="56" t="str"/>
      <x:c r="W28" s="56" t="str"/>
    </x:row>
    <x:row r="29">
      <x:c r="A29" s="56" t="str">
        <x:v>physics2-basic-r08</x:v>
      </x:c>
      <x:c r="B29" s="56" t="str">
        <x:v>physics2-basic</x:v>
      </x:c>
      <x:c r="C29" s="56" t="n">
        <x:v>8</x:v>
      </x:c>
      <x:c r="D29" s="56" t="str">
        <x:v>물리2 8회차 복습 테스트</x:v>
      </x:c>
      <x:c r="E29" s="56" t="str"/>
      <x:c r="F29" s="56" t="str">
        <x:v>weekly</x:v>
      </x:c>
      <x:c r="G29" s="56" t="str"/>
      <x:c r="H29" s="56" t="str"/>
      <x:c r="I29" s="56" t="n">
        <x:v>0</x:v>
      </x:c>
      <x:c r="J29" s="56" t="n">
        <x:v>0</x:v>
      </x:c>
      <x:c r="K29" s="56" t="str"/>
      <x:c r="L29" s="56" t="str"/>
      <x:c r="M29" s="56" t="str">
        <x:v>not-uploaded</x:v>
      </x:c>
      <x:c r="N29" s="56" t="str">
        <x:v>2026.08.10-1</x:v>
      </x:c>
      <x:c r="O29" s="56" t="str">
        <x:v>coming-soon</x:v>
      </x:c>
      <x:c r="P29" s="56" t="str">
        <x:v>[]</x:v>
      </x:c>
      <x:c r="Q29" s="56" t="str">
        <x:v>{}</x:v>
      </x:c>
      <x:c r="R29" s="56" t="str">
        <x:v>{}</x:v>
      </x:c>
      <x:c r="S29" s="56" t="str">
        <x:v>[]</x:v>
      </x:c>
      <x:c r="T29" s="56" t="str"/>
      <x:c r="U29" s="56" t="str"/>
      <x:c r="V29" s="56" t="str"/>
      <x:c r="W29" s="56" t="str"/>
    </x:row>
    <x:row r="30">
      <x:c r="A30" s="56" t="str">
        <x:v>physics2-basic-r09</x:v>
      </x:c>
      <x:c r="B30" s="56" t="str">
        <x:v>physics2-basic</x:v>
      </x:c>
      <x:c r="C30" s="56" t="n">
        <x:v>9</x:v>
      </x:c>
      <x:c r="D30" s="56" t="str">
        <x:v>물리2 9회차 복습 테스트</x:v>
      </x:c>
      <x:c r="E30" s="56" t="str"/>
      <x:c r="F30" s="56" t="str">
        <x:v>weekly</x:v>
      </x:c>
      <x:c r="G30" s="56" t="str"/>
      <x:c r="H30" s="56" t="str"/>
      <x:c r="I30" s="56" t="n">
        <x:v>0</x:v>
      </x:c>
      <x:c r="J30" s="56" t="n">
        <x:v>0</x:v>
      </x:c>
      <x:c r="K30" s="56" t="str"/>
      <x:c r="L30" s="56" t="str"/>
      <x:c r="M30" s="56" t="str">
        <x:v>not-uploaded</x:v>
      </x:c>
      <x:c r="N30" s="56" t="str">
        <x:v>2026.08.10-1</x:v>
      </x:c>
      <x:c r="O30" s="56" t="str">
        <x:v>coming-soon</x:v>
      </x:c>
      <x:c r="P30" s="56" t="str">
        <x:v>[]</x:v>
      </x:c>
      <x:c r="Q30" s="56" t="str">
        <x:v>{}</x:v>
      </x:c>
      <x:c r="R30" s="56" t="str">
        <x:v>{}</x:v>
      </x:c>
      <x:c r="S30" s="56" t="str">
        <x:v>[]</x:v>
      </x:c>
      <x:c r="T30" s="56" t="str"/>
      <x:c r="U30" s="56" t="str"/>
      <x:c r="V30" s="56" t="str"/>
      <x:c r="W30" s="56" t="str"/>
    </x:row>
    <x:row r="31">
      <x:c r="A31" s="56" t="str">
        <x:v>physics2-basic-r11</x:v>
      </x:c>
      <x:c r="B31" s="56" t="str">
        <x:v>physics2-basic</x:v>
      </x:c>
      <x:c r="C31" s="56" t="n">
        <x:v>11</x:v>
      </x:c>
      <x:c r="D31" s="56" t="str">
        <x:v>물리2 11회차 복습 테스트</x:v>
      </x:c>
      <x:c r="E31" s="56" t="str"/>
      <x:c r="F31" s="56" t="str">
        <x:v>weekly</x:v>
      </x:c>
      <x:c r="G31" s="56" t="str"/>
      <x:c r="H31" s="56" t="str"/>
      <x:c r="I31" s="56" t="n">
        <x:v>0</x:v>
      </x:c>
      <x:c r="J31" s="56" t="n">
        <x:v>0</x:v>
      </x:c>
      <x:c r="K31" s="56" t="str"/>
      <x:c r="L31" s="56" t="str"/>
      <x:c r="M31" s="56" t="str">
        <x:v>not-uploaded</x:v>
      </x:c>
      <x:c r="N31" s="56" t="str">
        <x:v>2026.08.10-1</x:v>
      </x:c>
      <x:c r="O31" s="56" t="str">
        <x:v>coming-soon</x:v>
      </x:c>
      <x:c r="P31" s="56" t="str">
        <x:v>[]</x:v>
      </x:c>
      <x:c r="Q31" s="56" t="str">
        <x:v>{}</x:v>
      </x:c>
      <x:c r="R31" s="56" t="str">
        <x:v>{}</x:v>
      </x:c>
      <x:c r="S31" s="56" t="str">
        <x:v>[]</x:v>
      </x:c>
      <x:c r="T31" s="56" t="str"/>
      <x:c r="U31" s="56" t="str"/>
      <x:c r="V31" s="56" t="str"/>
      <x:c r="W31" s="56" t="str"/>
    </x:row>
    <x:row r="32">
      <x:c r="A32" s="56" t="str">
        <x:v>physics2-basic-r12</x:v>
      </x:c>
      <x:c r="B32" s="56" t="str">
        <x:v>physics2-basic</x:v>
      </x:c>
      <x:c r="C32" s="56" t="n">
        <x:v>12</x:v>
      </x:c>
      <x:c r="D32" s="56" t="str">
        <x:v>물리2 12회차 복습 테스트</x:v>
      </x:c>
      <x:c r="E32" s="56" t="str"/>
      <x:c r="F32" s="56" t="str">
        <x:v>weekly</x:v>
      </x:c>
      <x:c r="G32" s="56" t="str"/>
      <x:c r="H32" s="56" t="str"/>
      <x:c r="I32" s="56" t="n">
        <x:v>0</x:v>
      </x:c>
      <x:c r="J32" s="56" t="n">
        <x:v>0</x:v>
      </x:c>
      <x:c r="K32" s="56" t="str"/>
      <x:c r="L32" s="56" t="str"/>
      <x:c r="M32" s="56" t="str">
        <x:v>not-uploaded</x:v>
      </x:c>
      <x:c r="N32" s="56" t="str">
        <x:v>2026.08.10-1</x:v>
      </x:c>
      <x:c r="O32" s="56" t="str">
        <x:v>coming-soon</x:v>
      </x:c>
      <x:c r="P32" s="56" t="str">
        <x:v>[]</x:v>
      </x:c>
      <x:c r="Q32" s="56" t="str">
        <x:v>{}</x:v>
      </x:c>
      <x:c r="R32" s="56" t="str">
        <x:v>{}</x:v>
      </x:c>
      <x:c r="S32" s="56" t="str">
        <x:v>[]</x:v>
      </x:c>
      <x:c r="T32" s="56" t="str"/>
      <x:c r="U32" s="56" t="str"/>
      <x:c r="V32" s="56" t="str"/>
      <x:c r="W32" s="56" t="str"/>
    </x:row>
    <x:row r="33">
      <x:c r="A33" s="56" t="str">
        <x:v>physics2-basic-r13</x:v>
      </x:c>
      <x:c r="B33" s="56" t="str">
        <x:v>physics2-basic</x:v>
      </x:c>
      <x:c r="C33" s="56" t="n">
        <x:v>13</x:v>
      </x:c>
      <x:c r="D33" s="56" t="str">
        <x:v>물리2 13회차 복습 테스트</x:v>
      </x:c>
      <x:c r="E33" s="56" t="str"/>
      <x:c r="F33" s="56" t="str">
        <x:v>weekly</x:v>
      </x:c>
      <x:c r="G33" s="56" t="str"/>
      <x:c r="H33" s="56" t="str"/>
      <x:c r="I33" s="56" t="n">
        <x:v>0</x:v>
      </x:c>
      <x:c r="J33" s="56" t="n">
        <x:v>0</x:v>
      </x:c>
      <x:c r="K33" s="56" t="str"/>
      <x:c r="L33" s="56" t="str"/>
      <x:c r="M33" s="56" t="str">
        <x:v>not-uploaded</x:v>
      </x:c>
      <x:c r="N33" s="56" t="str">
        <x:v>2026.08.10-1</x:v>
      </x:c>
      <x:c r="O33" s="56" t="str">
        <x:v>coming-soon</x:v>
      </x:c>
      <x:c r="P33" s="56" t="str">
        <x:v>[]</x:v>
      </x:c>
      <x:c r="Q33" s="56" t="str">
        <x:v>{}</x:v>
      </x:c>
      <x:c r="R33" s="56" t="str">
        <x:v>{}</x:v>
      </x:c>
      <x:c r="S33" s="56" t="str">
        <x:v>[]</x:v>
      </x:c>
      <x:c r="T33" s="56" t="str"/>
      <x:c r="U33" s="56" t="str"/>
      <x:c r="V33" s="56" t="str"/>
      <x:c r="W33" s="56" t="str"/>
    </x:row>
    <x:row r="34">
      <x:c r="A34" s="56" t="str">
        <x:v>physics2-basic-r14</x:v>
      </x:c>
      <x:c r="B34" s="56" t="str">
        <x:v>physics2-basic</x:v>
      </x:c>
      <x:c r="C34" s="56" t="n">
        <x:v>14</x:v>
      </x:c>
      <x:c r="D34" s="56" t="str">
        <x:v>물리2 14회차 복습 테스트</x:v>
      </x:c>
      <x:c r="E34" s="56" t="str"/>
      <x:c r="F34" s="56" t="str">
        <x:v>weekly</x:v>
      </x:c>
      <x:c r="G34" s="56" t="str"/>
      <x:c r="H34" s="56" t="str"/>
      <x:c r="I34" s="56" t="n">
        <x:v>0</x:v>
      </x:c>
      <x:c r="J34" s="56" t="n">
        <x:v>0</x:v>
      </x:c>
      <x:c r="K34" s="56" t="str"/>
      <x:c r="L34" s="56" t="str"/>
      <x:c r="M34" s="56" t="str">
        <x:v>not-uploaded</x:v>
      </x:c>
      <x:c r="N34" s="56" t="str">
        <x:v>2026.08.10-1</x:v>
      </x:c>
      <x:c r="O34" s="56" t="str">
        <x:v>coming-soon</x:v>
      </x:c>
      <x:c r="P34" s="56" t="str">
        <x:v>[]</x:v>
      </x:c>
      <x:c r="Q34" s="56" t="str">
        <x:v>{}</x:v>
      </x:c>
      <x:c r="R34" s="56" t="str">
        <x:v>{}</x:v>
      </x:c>
      <x:c r="S34" s="56" t="str">
        <x:v>[]</x:v>
      </x:c>
      <x:c r="T34" s="56" t="str"/>
      <x:c r="U34" s="56" t="str"/>
      <x:c r="V34" s="56" t="str"/>
      <x:c r="W34" s="56" t="str"/>
    </x:row>
    <x:row r="35">
      <x:c r="A35" s="56" t="str">
        <x:v>physics2-basic-r15</x:v>
      </x:c>
      <x:c r="B35" s="56" t="str">
        <x:v>physics2-basic</x:v>
      </x:c>
      <x:c r="C35" s="56" t="n">
        <x:v>15</x:v>
      </x:c>
      <x:c r="D35" s="56" t="str">
        <x:v>물리2 15회차 복습 테스트</x:v>
      </x:c>
      <x:c r="E35" s="56" t="str"/>
      <x:c r="F35" s="56" t="str">
        <x:v>weekly</x:v>
      </x:c>
      <x:c r="G35" s="56" t="str"/>
      <x:c r="H35" s="56" t="str"/>
      <x:c r="I35" s="56" t="n">
        <x:v>0</x:v>
      </x:c>
      <x:c r="J35" s="56" t="n">
        <x:v>0</x:v>
      </x:c>
      <x:c r="K35" s="56" t="str"/>
      <x:c r="L35" s="56" t="str"/>
      <x:c r="M35" s="56" t="str">
        <x:v>not-uploaded</x:v>
      </x:c>
      <x:c r="N35" s="56" t="str">
        <x:v>2026.08.10-1</x:v>
      </x:c>
      <x:c r="O35" s="56" t="str">
        <x:v>coming-soon</x:v>
      </x:c>
      <x:c r="P35" s="56" t="str">
        <x:v>[]</x:v>
      </x:c>
      <x:c r="Q35" s="56" t="str">
        <x:v>{}</x:v>
      </x:c>
      <x:c r="R35" s="56" t="str">
        <x:v>{}</x:v>
      </x:c>
      <x:c r="S35" s="56" t="str">
        <x:v>[]</x:v>
      </x:c>
      <x:c r="T35" s="56" t="str"/>
      <x:c r="U35" s="56" t="str"/>
      <x:c r="V35" s="56" t="str"/>
      <x:c r="W35" s="56" t="str"/>
    </x:row>
    <x:row r="36">
      <x:c r="A36" s="56" t="str">
        <x:v>physics1-basic-total-mechanics</x:v>
      </x:c>
      <x:c r="B36" s="56" t="str">
        <x:v>physics1-basic</x:v>
      </x:c>
      <x:c r="C36" s="56" t="n">
        <x:v>0</x:v>
      </x:c>
      <x:c r="D36" s="56" t="str">
        <x:v>물리1 역학 총괄평가</x:v>
      </x:c>
      <x:c r="E36" s="56" t="str">
        <x:v>역학 총괄평가</x:v>
      </x:c>
      <x:c r="F36" s="56" t="str">
        <x:v>comprehensive</x:v>
      </x:c>
      <x:c r="G36" s="56" t="str">
        <x:v>mechanics</x:v>
      </x:c>
      <x:c r="H36" s="56" t="str"/>
      <x:c r="I36" s="56" t="n">
        <x:v>25</x:v>
      </x:c>
      <x:c r="J36" s="56" t="n">
        <x:v>100</x:v>
      </x:c>
      <x:c r="K36" s="56" t="str">
        <x:v>assets/documents/assessments/physics1/mechanics.pdf</x:v>
      </x:c>
      <x:c r="L36" s="56" t="str">
        <x:v>assets/documents/assessments/physics1/mechanics-solution.pdf</x:v>
      </x:c>
      <x:c r="M36" s="56" t="str">
        <x:v>corrected</x:v>
      </x:c>
      <x:c r="N36" s="56" t="str">
        <x:v>2026.08.10-total-1</x:v>
      </x:c>
      <x:c r="O36" s="56" t="str">
        <x:v>ready</x:v>
      </x:c>
      <x:c r="P36" s="56" t="str">
        <x:v>["assets/pages/assessments/physics1/mechanics/page-01.png","assets/pages/assessments/physics1/mechanics/page-02.png","assets/pages/assessments/physics1/mechanics/page-03.png","assets/pages/assessments/physics1/mechanics/page-04.png","assets/pages/assessments/physics1/mechanics/page-05.png","assets/pages/assessments/physics1/mechanics/page-06.png","assets/pages/assessments/physics1/mechanics/page-07.png","assets/pages/assessments/physics1/mechanics/page-08.png","assets/pages/assessments/physics1/mechanics/page-09.png","assets/pages/assessments/physics1/mechanics/page-10.png","assets/pages/assessments/physics1/mechanics/page-11.png","assets/pages/assessments/physics1/mechanics/page-12.png","assets/pages/assessments/physics1/mechanics/page-13.png","assets/pages/assessments/physics1/mechanics/page-14.png","assets/pages/assessments/physics1/mechanics/page-15.png"]</x:v>
      </x:c>
      <x:c r="Q36" s="56" t="str">
        <x:v>{"summary":"운동의 기술부터 힘, 운동량, 일·에너지, 열역학까지 역학 전 범위를 한 번에 점검하는 총괄평가","concepts":["그래프의 기울기와 넓이로 속도·가속도·변위를 해석","자유물체도를 그리고 축별 운동방정식을 세움","운동량 보존·충격량·반발계수를 구분","일-에너지 정리와 역학적 에너지 보존의 적용 조건","열역학 제1법칙과 과정별 일·열·내부에너지"],"formulas":["v_avg=Δx/Δt, a=Δv/Δt","ΣF=ma","Σp_i=Σp_f, I=Δp","W_net=ΔK, K+U=constant","ΔU=Q-W"],"mistakes":["속도와 속력, 변위와 이동거리를 혼동","마찰력·장력 방향을 그림 없이 결정","운동에너지의 속도를 제곱하지 않음","충격량과 충격력의 크기를 같은 것으로 봄","단열과 등온을 혼동"],"checklist":["부호와 양의 방향을 먼저 정했는가?","계의 경계를 정하고 외력만 합했는가?","보존법칙 적용 조건을 확인했는가?","단위와 제곱을 마지막에 다시 확인했는가?"]}</x:v>
      </x:c>
      <x:c r="R36" s="56" t="str">
        <x:v>{"objectiveRange":"1-20","subjectiveRange":"21-25","objectiveMode":"binary","subjectiveMode":"points"}</x:v>
      </x:c>
      <x:c r="S36" s="56" t="str">
        <x:v>["physics1-basic-r02","physics1-basic-r03","physics1-basic-r04","physics1-basic-r05","physics1-basic-r06","physics1-basic-r07","physics1-basic-r08"]</x:v>
      </x:c>
      <x:c r="T36" s="56" t="str">
        <x:v>물리1 2~8회 복습 테스트</x:v>
      </x:c>
      <x:c r="U36" s="56" t="str">
        <x:v>꼼꼼한물리1 진단고사 역학</x:v>
      </x:c>
      <x:c r="V36" s="56" t="str">
        <x:v>객관식 1~20번, 서술형 21~25번, 문항당 4점</x:v>
      </x:c>
      <x:c r="W36" s="56" t="n">
        <x:v>201</x:v>
      </x:c>
    </x:row>
    <x:row r="37">
      <x:c r="A37" s="56" t="str">
        <x:v>physics1-basic-total-electromagnetism</x:v>
      </x:c>
      <x:c r="B37" s="56" t="str">
        <x:v>physics1-basic</x:v>
      </x:c>
      <x:c r="C37" s="56" t="n">
        <x:v>0</x:v>
      </x:c>
      <x:c r="D37" s="56" t="str">
        <x:v>물리1 전자기·파동 총괄평가</x:v>
      </x:c>
      <x:c r="E37" s="56" t="str">
        <x:v>전자기·파동 총괄평가</x:v>
      </x:c>
      <x:c r="F37" s="56" t="str">
        <x:v>comprehensive</x:v>
      </x:c>
      <x:c r="G37" s="56" t="str">
        <x:v>electromagnetism</x:v>
      </x:c>
      <x:c r="H37" s="56" t="str"/>
      <x:c r="I37" s="56" t="n">
        <x:v>25</x:v>
      </x:c>
      <x:c r="J37" s="56" t="n">
        <x:v>100</x:v>
      </x:c>
      <x:c r="K37" s="56" t="str">
        <x:v>assets/documents/assessments/physics1/electromagnetism-waves.pdf</x:v>
      </x:c>
      <x:c r="L37" s="56" t="str">
        <x:v>assets/documents/assessments/physics1/electromagnetism-waves-solution.pdf</x:v>
      </x:c>
      <x:c r="M37" s="56" t="str">
        <x:v>corrected</x:v>
      </x:c>
      <x:c r="N37" s="56" t="str">
        <x:v>2026.08.10-total-1</x:v>
      </x:c>
      <x:c r="O37" s="56" t="str">
        <x:v>ready</x:v>
      </x:c>
      <x:c r="P37" s="56" t="str">
        <x:v>["assets/pages/assessments/physics1/electromagnetism/page-01.png","assets/pages/assessments/physics1/electromagnetism/page-02.png","assets/pages/assessments/physics1/electromagnetism/page-03.png","assets/pages/assessments/physics1/electromagnetism/page-04.png","assets/pages/assessments/physics1/electromagnetism/page-05.png","assets/pages/assessments/physics1/electromagnetism/page-06.png","assets/pages/assessments/physics1/electromagnetism/page-07.png","assets/pages/assessments/physics1/electromagnetism/page-08.png","assets/pages/assessments/physics1/electromagnetism/page-09.png","assets/pages/assessments/physics1/electromagnetism/page-10.png","assets/pages/assessments/physics1/electromagnetism/page-11.png","assets/pages/assessments/physics1/electromagnetism/page-12.png","assets/pages/assessments/physics1/electromagnetism/page-13.png","assets/pages/assessments/physics1/electromagnetism/page-14.png","assets/pages/assessments/physics1/electromagnetism/page-15.png","assets/pages/assessments/physics1/electromagnetism/page-16.png"]</x:v>
      </x:c>
      <x:c r="Q37" s="56" t="str">
        <x:v>{"summary":"전류·회로·전기장·자기장·전자기 유도와 파동·빛을 통합 점검하는 총괄평가","concepts":["전류 방향과 전하 이동을 구분","전위는 스칼라, 전기장·자기장은 벡터로 합성","직렬·병렬 회로와 소비전력 계산","패러데이·렌츠 법칙으로 유도전류 방향 결정","진행파·정상파·간섭·굴절·결상 해석"],"formulas":["I=Q/t, R=ρL/A, P=VI","V=kQ/r, E=kQ/r²","B=μ₀I/(2πr), F=IL×B","|ε|=|dΦ/dt|","v=fλ, L=nλ/2, 1/f=1/p+1/q"],"mistakes":["전자 이동 방향을 전류 방향으로 그대로 사용","정격전력이 큰 전구의 저항도 크다고 생각","렌츠 법칙의 “변화 방해” 방향을 반대로 적용","파동 진행과 매질 진동 방향을 혼동","렌즈의 가상 물체거리 부호를 누락"],"checklist":["회로를 직렬·병렬 묶음으로 다시 그렸는가?","벡터 방향을 오른손 법칙으로 확인했는가?","파장·진동수·속력 중 경계에서 보존되는 양을 확인했는가?","거울·렌즈 부호 규약을 일관되게 썼는가?"]}</x:v>
      </x:c>
      <x:c r="R37" s="56" t="str">
        <x:v>{"objectiveRange":"1-20","subjectiveRange":"21-25","objectiveMode":"binary","subjectiveMode":"points"}</x:v>
      </x:c>
      <x:c r="S37" s="56" t="str">
        <x:v>["physics1-basic-r10","physics1-basic-r11","physics1-basic-r12","physics1-basic-r13","physics1-basic-r14","physics1-basic-r15","physics1-basic-r16"]</x:v>
      </x:c>
      <x:c r="T37" s="56" t="str">
        <x:v>물리1 10~16회 복습 테스트</x:v>
      </x:c>
      <x:c r="U37" s="56" t="str">
        <x:v>물리 I 진단고사(전자기/파동)</x:v>
      </x:c>
      <x:c r="V37" s="56" t="str">
        <x:v>객관식 1~20번, 서술형 21~25번, 문항당 4점</x:v>
      </x:c>
      <x:c r="W37" s="56" t="n">
        <x:v>202</x:v>
      </x:c>
    </x:row>
    <x:row r="38">
      <x:c r="A38" s="56" t="str">
        <x:v>physics2-basic-total-mechanics</x:v>
      </x:c>
      <x:c r="B38" s="56" t="str">
        <x:v>physics2-basic</x:v>
      </x:c>
      <x:c r="C38" s="56" t="n">
        <x:v>0</x:v>
      </x:c>
      <x:c r="D38" s="56" t="str">
        <x:v>물리2 역학 총괄평가</x:v>
      </x:c>
      <x:c r="E38" s="56" t="str">
        <x:v>역학 총괄평가</x:v>
      </x:c>
      <x:c r="F38" s="56" t="str">
        <x:v>comprehensive</x:v>
      </x:c>
      <x:c r="G38" s="56" t="str">
        <x:v>mechanics</x:v>
      </x:c>
      <x:c r="H38" s="56" t="str"/>
      <x:c r="I38" s="56" t="n">
        <x:v>0</x:v>
      </x:c>
      <x:c r="J38" s="56" t="n">
        <x:v>0</x:v>
      </x:c>
      <x:c r="K38" s="56" t="str"/>
      <x:c r="L38" s="56" t="str"/>
      <x:c r="M38" s="56" t="str">
        <x:v>not-uploaded</x:v>
      </x:c>
      <x:c r="N38" s="56" t="str">
        <x:v>2026.08.10-total-1</x:v>
      </x:c>
      <x:c r="O38" s="56" t="str">
        <x:v>coming-soon</x:v>
      </x:c>
      <x:c r="P38" s="56" t="str">
        <x:v>[]</x:v>
      </x:c>
      <x:c r="Q38" s="56" t="str">
        <x:v>{}</x:v>
      </x:c>
      <x:c r="R38" s="56" t="str">
        <x:v>{}</x:v>
      </x:c>
      <x:c r="S38" s="56" t="str">
        <x:v>["physics2-basic-r02","physics2-basic-r03","physics2-basic-r04","physics2-basic-r05","physics2-basic-r06","physics2-basic-r07","physics2-basic-r08","physics2-basic-r09"]</x:v>
      </x:c>
      <x:c r="T38" s="56" t="str">
        <x:v>물리2 2~9회 복습 테스트</x:v>
      </x:c>
      <x:c r="U38" s="56" t="str"/>
      <x:c r="V38" s="56" t="str"/>
      <x:c r="W38" s="56" t="n">
        <x:v>203</x:v>
      </x:c>
    </x:row>
    <x:row r="39">
      <x:c r="A39" s="56" t="str">
        <x:v>physics2-basic-total-electromagnetism</x:v>
      </x:c>
      <x:c r="B39" s="56" t="str">
        <x:v>physics2-basic</x:v>
      </x:c>
      <x:c r="C39" s="56" t="n">
        <x:v>0</x:v>
      </x:c>
      <x:c r="D39" s="56" t="str">
        <x:v>물리2 전자기·파동 총괄평가</x:v>
      </x:c>
      <x:c r="E39" s="56" t="str">
        <x:v>전자기·파동 총괄평가</x:v>
      </x:c>
      <x:c r="F39" s="56" t="str">
        <x:v>comprehensive</x:v>
      </x:c>
      <x:c r="G39" s="56" t="str">
        <x:v>electromagnetism</x:v>
      </x:c>
      <x:c r="H39" s="56" t="str"/>
      <x:c r="I39" s="56" t="n">
        <x:v>0</x:v>
      </x:c>
      <x:c r="J39" s="56" t="n">
        <x:v>0</x:v>
      </x:c>
      <x:c r="K39" s="56" t="str"/>
      <x:c r="L39" s="56" t="str"/>
      <x:c r="M39" s="56" t="str">
        <x:v>not-uploaded</x:v>
      </x:c>
      <x:c r="N39" s="56" t="str">
        <x:v>2026.08.10-total-1</x:v>
      </x:c>
      <x:c r="O39" s="56" t="str">
        <x:v>coming-soon</x:v>
      </x:c>
      <x:c r="P39" s="56" t="str">
        <x:v>[]</x:v>
      </x:c>
      <x:c r="Q39" s="56" t="str">
        <x:v>{}</x:v>
      </x:c>
      <x:c r="R39" s="56" t="str">
        <x:v>{}</x:v>
      </x:c>
      <x:c r="S39" s="56" t="str">
        <x:v>["physics2-basic-r11","physics2-basic-r12","physics2-basic-r13","physics2-basic-r14","physics2-basic-r15"]</x:v>
      </x:c>
      <x:c r="T39" s="56" t="str">
        <x:v>물리2 11~15회 복습 테스트</x:v>
      </x:c>
      <x:c r="U39" s="56" t="str"/>
      <x:c r="V39" s="56" t="str"/>
      <x:c r="W39" s="56" t="n">
        <x:v>204</x:v>
      </x:c>
    </x:row>
    <x:row r="40">
      <x:c r="A40" s="56" t="str">
        <x:v>physics1-advanced-total</x:v>
      </x:c>
      <x:c r="B40" s="56" t="str">
        <x:v>physics1-advanced</x:v>
      </x:c>
      <x:c r="C40" s="56" t="n">
        <x:v>0</x:v>
      </x:c>
      <x:c r="D40" s="56" t="str">
        <x:v>물리1심화 총괄평가</x:v>
      </x:c>
      <x:c r="E40" s="56" t="str">
        <x:v>심화 총괄평가</x:v>
      </x:c>
      <x:c r="F40" s="56" t="str">
        <x:v>comprehensive</x:v>
      </x:c>
      <x:c r="G40" s="56" t="str">
        <x:v>integrated</x:v>
      </x:c>
      <x:c r="H40" s="56" t="str"/>
      <x:c r="I40" s="56" t="n">
        <x:v>0</x:v>
      </x:c>
      <x:c r="J40" s="56" t="n">
        <x:v>0</x:v>
      </x:c>
      <x:c r="K40" s="56" t="str"/>
      <x:c r="L40" s="56" t="str"/>
      <x:c r="M40" s="56" t="str">
        <x:v>not-uploaded</x:v>
      </x:c>
      <x:c r="N40" s="56" t="str">
        <x:v>2026.08.10-total-1</x:v>
      </x:c>
      <x:c r="O40" s="56" t="str">
        <x:v>coming-soon</x:v>
      </x:c>
      <x:c r="P40" s="56" t="str">
        <x:v>[]</x:v>
      </x:c>
      <x:c r="Q40" s="56" t="str">
        <x:v>{}</x:v>
      </x:c>
      <x:c r="R40" s="56" t="str">
        <x:v>{}</x:v>
      </x:c>
      <x:c r="S40" s="56" t="str">
        <x:v>["physics1-advanced-r02","physics1-advanced-r03","physics1-advanced-r04","physics1-advanced-r05","physics1-advanced-r06","physics1-advanced-r07"]</x:v>
      </x:c>
      <x:c r="T40" s="56" t="str">
        <x:v>물리1심화 2~7회 복습 테스트</x:v>
      </x:c>
      <x:c r="U40" s="56" t="str"/>
      <x:c r="V40" s="56" t="str"/>
      <x:c r="W40" s="56" t="n">
        <x:v>205</x:v>
      </x:c>
    </x:row>
  </x:sheetData>
  <x:conditionalFormatting sqref="M2:M200">
    <x:cfRule type="expression" dxfId="0" priority="1">
      <x:formula>M2="corrected"</x:formula>
    </x:cfRule>
    <x:cfRule type="expression" dxfId="1" priority="2">
      <x:formula>M2="verified"</x:formula>
    </x:cfRule>
  </x:conditionalFormatting>
  <x:conditionalFormatting sqref="O2:O200">
    <x:cfRule type="expression" dxfId="2" priority="3">
      <x:formula>O2="ready"</x:formula>
    </x:cfRule>
    <x:cfRule type="expression" dxfId="3" priority="4">
      <x:formula>O2="coming-soon"</x:formula>
    </x:cfRule>
  </x:conditionalFormatting>
  <x:dataValidations count="3">
    <x:dataValidation type="list" sqref="F2:F200">
      <x:formula1>"weekly,comprehensive"</x:formula1>
    </x:dataValidation>
    <x:dataValidation type="list" sqref="M2:M200">
      <x:formula1>"verified,corrected,needs-review,ambiguous,not-uploaded"</x:formula1>
    </x:dataValidation>
    <x:dataValidation type="list" sqref="O2:O200">
      <x:formula1>"ready,coming-soon,disabled"</x:formula1>
    </x:dataValidation>
  </x:dataValidations>
  <x:pageMargins left="0.7" right="0.7" top="0.75" bottom="0.75" header="0.3" footer="0.3"/>
  <x:tableParts count="1">
    <x:tablePart xmlns:r="http://schemas.openxmlformats.org/officeDocument/2006/relationships" r:id="R60a42d5bb4284241"/>
  </x:tableParts>
</x:worksheet>
</file>

<file path=xl/worksheets/sheet4.xml><?xml version="1.0" encoding="utf-8"?>
<x:worksheet xmlns:x="http://schemas.openxmlformats.org/spreadsheetml/2006/main">
  <x:sheetFormatPr defaultRowHeight="15"/>
  <x:cols>
    <x:col min="1" max="1" width="32" hidden="0" customWidth="1"/>
    <x:col min="2" max="2" width="10" hidden="0" customWidth="1"/>
    <x:col min="3" max="3" width="14" hidden="0" customWidth="1"/>
    <x:col min="4" max="4" width="14" hidden="0" customWidth="1"/>
    <x:col min="5" max="5" width="11" hidden="0" customWidth="1"/>
    <x:col min="6" max="6" width="20" hidden="0" customWidth="1"/>
    <x:col min="7" max="7" width="28" hidden="0" customWidth="1"/>
    <x:col min="8" max="8" width="12" hidden="0" customWidth="1"/>
    <x:col min="9" max="9" width="38" hidden="0" customWidth="1"/>
    <x:col min="10" max="10" width="48" hidden="0" customWidth="1"/>
    <x:col min="11" max="11" width="55" hidden="0" customWidth="1"/>
    <x:col min="12" max="12" width="44" hidden="0" customWidth="1"/>
    <x:col min="13" max="13" width="55" hidden="0" customWidth="1"/>
    <x:col min="14" max="14" width="16" hidden="0" customWidth="1"/>
    <x:col min="15" max="15" width="50" hidden="0" customWidth="1"/>
    <x:col min="16" max="16" width="30" hidden="0" customWidth="1"/>
  </x:cols>
  <x:sheetData>
    <x:row r="1" ht="28" customHeight="1">
      <x:c r="A1" s="25" t="str">
        <x:v>ExamId</x:v>
      </x:c>
      <x:c r="B1" s="47" t="str">
        <x:v>QuestionNo</x:v>
      </x:c>
      <x:c r="C1" s="47" t="str">
        <x:v>Type</x:v>
      </x:c>
      <x:c r="D1" s="47" t="str">
        <x:v>InputMode</x:v>
      </x:c>
      <x:c r="E1" s="47" t="str">
        <x:v>MaxPoints</x:v>
      </x:c>
      <x:c r="F1" s="47" t="str">
        <x:v>Unit</x:v>
      </x:c>
      <x:c r="G1" s="47" t="str">
        <x:v>Topic</x:v>
      </x:c>
      <x:c r="H1" s="47" t="str">
        <x:v>Difficulty</x:v>
      </x:c>
      <x:c r="I1" s="47" t="str">
        <x:v>AnswerJSON</x:v>
      </x:c>
      <x:c r="J1" s="47" t="str">
        <x:v>RubricJSON</x:v>
      </x:c>
      <x:c r="K1" s="47" t="str">
        <x:v>ExplanationJSON</x:v>
      </x:c>
      <x:c r="L1" s="47" t="str">
        <x:v>OriginalRetryJSON</x:v>
      </x:c>
      <x:c r="M1" s="47" t="str">
        <x:v>SimilarProblemJSON</x:v>
      </x:c>
      <x:c r="N1" s="47" t="str">
        <x:v>ReviewStatus</x:v>
      </x:c>
      <x:c r="O1" s="47" t="str">
        <x:v>CorrectionNote</x:v>
      </x:c>
      <x:c r="P1" s="26" t="str">
        <x:v>ImageJSON</x:v>
      </x:c>
    </x:row>
    <x:row r="2" ht="44" customHeight="1">
      <x:c r="A2" s="56" t="str">
        <x:v>physics1-basic-r02</x:v>
      </x:c>
      <x:c r="B2" s="56" t="n">
        <x:v>1</x:v>
      </x:c>
      <x:c r="C2" s="56" t="str">
        <x:v>subjective</x:v>
      </x:c>
      <x:c r="D2" s="56" t="str">
        <x:v>achievement</x:v>
      </x:c>
      <x:c r="E2" s="56" t="n">
        <x:v>15</x:v>
      </x:c>
      <x:c r="F2" s="56" t="str">
        <x:v>운동의 기술</x:v>
      </x:c>
      <x:c r="G2" s="56" t="str">
        <x:v>변위-시간 그래프와 이동 거리</x:v>
      </x:c>
      <x:c r="H2" s="56" t="str">
        <x:v>중</x:v>
      </x:c>
      <x:c r="I2" s="56" t="str">
        <x:v>{"display":"이동 거리는 시간에 따라 계속 증가한다. 변위가 증가하는 구간에서는 이동 거리 그래프가 원래 s-t 그래프와 같은 기울기로 상승하고, 변위가 최대가 되는 순간에는 기울기가 0이 된다. 이후 물체가 되돌아오므로 이동 거리는 다시 증가하며 기울기의 크기는 |v|만큼 커진다.","answerKey":null}</x:v>
      </x:c>
      <x:c r="J2" s="56" t="str">
        <x:v>[{"criterion":"이동 거리가 전 구간에서 감소하지 않음","points":4},{"criterion":"방향 전환점에서 수평 접선","points":4},{"criterion":"전환 전·후 기울기가 각각 |v|와 일치","points":5},{"criterion":"축·라벨·연결의 완성도","points":2}]</x:v>
      </x:c>
      <x:c r="K2" s="56" t="str">
        <x:v>{"steps":["이동 거리의 순간 변화율은 속력이므로 dL/dt=|v|이다.","처음부터 변위의 꼭짓점까지는 한 방향으로 움직이므로 L=s이다.","꼭짓점 이후에는 반대 방향으로 움직이지만 이동 거리는 줄지 않는다. 따라서 꼭짓점에서 수평 접선을 가진 뒤 다시 위로 증가하는 그래프가 된다."],"formulas":["dL/dt = |v|","방향 전환 순간: v=0 → 이동 거리 그래프의 기울기 0"],"commonMistakes":["되돌아오는 구간에서 이동 거리가 감소한다고 그리는 것","변위 그래프를 그대로 복사해 아래로 내려가게 그리는 것"]}</x:v>
      </x:c>
      <x:c r="L2" s="56" t="str">
        <x:v>{}</x:v>
      </x:c>
      <x:c r="M2" s="56" t="str">
        <x:v>{"prompt":"어떤 물체의 위치가 처음 0 m에서 증가하다가 t=3 s에 12 m로 최대가 된 뒤, t=5 s에 7 m가 되었다. 이동 거리-시간 그래프의 핵심 점 (0 s, 3 s, 5 s)의 이동 거리를 쓰고 그래프 모양을 설명하시오.","answer":"(0 s, 0 m), (3 s, 12 m), (5 s, 17 m). 3 s까지 증가하다가 기울기가 0이 된 뒤, 다시 증가한다.","explanation":"3 s까지 12 m 이동했고, 이후 12 m에서 7 m로 5 m 되돌아왔으므로 총 이동 거리는 17 m이다. 이동 거리는 방향이 바뀌어도 감소하지 않는다.","inputMode":"text","acceptableAnswers":["0,12,17","0m,12m,17m","17m"]}</x:v>
      </x:c>
      <x:c r="N2" s="56" t="str">
        <x:v>verified</x:v>
      </x:c>
      <x:c r="O2" s="56" t="str"/>
      <x:c r="P2" s="56" t="str">
        <x:v>{"page":1,"crop":[55,190,675,500]}</x:v>
      </x:c>
    </x:row>
    <x:row r="3" ht="44" customHeight="1">
      <x:c r="A3" s="56" t="str">
        <x:v>physics1-basic-r02</x:v>
      </x:c>
      <x:c r="B3" s="56" t="n">
        <x:v>2</x:v>
      </x:c>
      <x:c r="C3" s="56" t="str">
        <x:v>subjective</x:v>
      </x:c>
      <x:c r="D3" s="56" t="str">
        <x:v>achievement</x:v>
      </x:c>
      <x:c r="E3" s="56" t="n">
        <x:v>15</x:v>
      </x:c>
      <x:c r="F3" s="56" t="str">
        <x:v>운동의 기술</x:v>
      </x:c>
      <x:c r="G3" s="56" t="str">
        <x:v>속도-시간 그래프의 적분</x:v>
      </x:c>
      <x:c r="H3" s="56" t="str">
        <x:v>중</x:v>
      </x:c>
      <x:c r="I3" s="56" t="str">
        <x:v>{"display":"0~첫 점선: 속력이 일정하게 증가하므로 이동 거리 그래프는 기울기가 커지는 아래로 볼록한 곡선. 첫~둘째 점선: 속력이 일정하므로 직선. 둘째 점선 이후: 속력이 일정하게 감소하여 0이 되므로 기울기가 줄어드는 위로 볼록한 곡선이며 마지막에는 수평 접선.","answerKey":null}</x:v>
      </x:c>
      <x:c r="J3" s="56" t="str">
        <x:v>[{"criterion":"가속 구간의 아래로 볼록한 곡선","points":5},{"criterion":"등속 구간의 직선","points":5},{"criterion":"감속 구간의 위로 볼록한 곡선과 마지막 수평 접선","points":5}]</x:v>
      </x:c>
      <x:c r="K3" s="56" t="str">
        <x:v>{"steps":["이동 거리 그래프의 기울기는 속력이다.","v-t 그래프가 상승하는 동안에는 이동 거리 그래프의 기울기가 증가한다.","v가 일정한 동안에는 이동 거리가 시간에 비례하여 증가한다.","v가 0으로 감소하는 동안에는 이동 거리는 계속 증가하지만 기울기는 0으로 줄어든다."],"formulas":["dL/dt=v (그림에서는 v≥0)","이동 거리 = v-t 그래프 아래 넓이"],"commonMistakes":["감속 구간에서 이동 거리도 감소한다고 그리는 것","등속 구간을 곡선으로 그리는 것","구간 경계에서 그래프를 끊는 것"]}</x:v>
      </x:c>
      <x:c r="L3" s="56" t="str">
        <x:v>{}</x:v>
      </x:c>
      <x:c r="M3" s="56" t="str">
        <x:v>{"prompt":"속력이 0~2 s 동안 0에서 6 m/s까지 일정하게 증가하고, 2~5 s 동안 6 m/s로 일정하며, 5~7 s 동안 0까지 일정하게 감소한다. 이동 거리 그래프의 세 구간 모양과 7 s까지 이동 거리를 구하시오.","answer":"아래로 볼록한 곡선 → 직선 → 위로 볼록한 곡선. 총 이동 거리 30 m.","explanation":"v-t 넓이는 첫 삼각형 6 m, 직사각형 18 m, 마지막 삼각형 6 m이므로 합은 30 m이다.","inputMode":"text","acceptableAnswers":["30","30m","30 m"]}</x:v>
      </x:c>
      <x:c r="N3" s="56" t="str">
        <x:v>verified</x:v>
      </x:c>
      <x:c r="O3" s="56" t="str"/>
      <x:c r="P3" s="56" t="str">
        <x:v>{"page":1,"crop":[55,700,675,600]}</x:v>
      </x:c>
    </x:row>
    <x:row r="4" ht="44" customHeight="1">
      <x:c r="A4" s="56" t="str">
        <x:v>physics1-basic-r02</x:v>
      </x:c>
      <x:c r="B4" s="56" t="n">
        <x:v>3</x:v>
      </x:c>
      <x:c r="C4" s="56" t="str">
        <x:v>subjective</x:v>
      </x:c>
      <x:c r="D4" s="56" t="str">
        <x:v>achievement</x:v>
      </x:c>
      <x:c r="E4" s="56" t="n">
        <x:v>10</x:v>
      </x:c>
      <x:c r="F4" s="56" t="str">
        <x:v>운동의 기술</x:v>
      </x:c>
      <x:c r="G4" s="56" t="str">
        <x:v>평균 가속도와 방향</x:v>
      </x:c>
      <x:c r="H4" s="56" t="str">
        <x:v>하</x:v>
      </x:c>
      <x:c r="I4" s="56" t="str">
        <x:v>{"display":"오른쪽을 +로 잡으면 v_i=+3 m/s, v_f=-6 m/s이다. a=(v_f-v_i)/Δt=(-6-3)/3=-3 m/s². 따라서 가속도 크기는 3 m/s², 방향은 왼쪽이다.","answerKey":null}</x:v>
      </x:c>
      <x:c r="J4" s="56" t="str">
        <x:v>[{"criterion":"방향·부호·적용 조건 설정","points":2},{"criterion":"핵심 식 전개","points":3},{"criterion":"수치 계산","points":3},{"criterion":"최종값·단위·해석","points":2}]</x:v>
      </x:c>
      <x:c r="K4" s="56" t="str">
        <x:v>{"steps":["속도의 방향을 부호로 나타낸다.","평균 가속도는 속도 변화량을 시간으로 나눈 값이다."],"formulas":["a=(v_f-v_i)/Δt"],"commonMistakes":["속력의 차 6-3만 계산하는 것","방향이 바뀌었는데 두 속도를 같은 부호로 두는 것"]}</x:v>
      </x:c>
      <x:c r="L4" s="56" t="str">
        <x:v>{}</x:v>
      </x:c>
      <x:c r="M4" s="56" t="str">
        <x:v>{"prompt":"동쪽으로 4 m/s로 달리던 물체가 2 s 뒤 서쪽으로 8 m/s가 되었다. 평균 가속도의 크기와 방향을 구하시오.","answer":"6 m/s², 서쪽","explanation":"동쪽을 +로 두면 a=(-8-4)/2=-6 m/s²이므로 크기는 6 m/s²이고 방향은 서쪽이다.","inputMode":"text","acceptableAnswers":["6","6m/s2","6 m/s²","서쪽 6","6 서쪽"]}</x:v>
      </x:c>
      <x:c r="N4" s="56" t="str">
        <x:v>verified</x:v>
      </x:c>
      <x:c r="O4" s="56" t="str"/>
      <x:c r="P4" s="56" t="str">
        <x:v>{"page":1,"crop":[55,1300,675,210]}</x:v>
      </x:c>
    </x:row>
    <x:row r="5" ht="44" customHeight="1">
      <x:c r="A5" s="56" t="str">
        <x:v>physics1-basic-r02</x:v>
      </x:c>
      <x:c r="B5" s="56" t="n">
        <x:v>4</x:v>
      </x:c>
      <x:c r="C5" s="56" t="str">
        <x:v>objective</x:v>
      </x:c>
      <x:c r="D5" s="56" t="str">
        <x:v>achievement</x:v>
      </x:c>
      <x:c r="E5" s="56" t="n">
        <x:v>10</x:v>
      </x:c>
      <x:c r="F5" s="56" t="str">
        <x:v>운동의 기술</x:v>
      </x:c>
      <x:c r="G5" s="56" t="str">
        <x:v>변위-시간 그래프의 기울기</x:v>
      </x:c>
      <x:c r="H5" s="56" t="str">
        <x:v>하</x:v>
      </x:c>
      <x:c r="I5" s="56" t="str">
        <x:v>{"display":"s는 증가하고, v는 감소한다.","answerKey":null}</x:v>
      </x:c>
      <x:c r="J5" s="56" t="str">
        <x:v>[{"criterion":"s의 변화: 증가","points":5},{"criterion":"v의 변화: 감소","points":5}]</x:v>
      </x:c>
      <x:c r="K5" s="56" t="str">
        <x:v>{"steps":["시간이 지날수록 s 값은 0→4→7→9→10으로 커진다.","같은 1초 동안의 변위가 4, 3, 2, 1 m로 줄어들므로 그래프의 기울기인 속도는 감소한다."],"formulas":["v = Δs/Δt (짧은 구간에서 그래프의 기울기)"],"commonMistakes":["s가 증가하므로 v도 반드시 증가한다고 판단하는 것","그래프 높이와 기울기를 혼동하는 것"]}</x:v>
      </x:c>
      <x:c r="L5" s="56" t="str">
        <x:v>{}</x:v>
      </x:c>
      <x:c r="M5" s="56" t="str">
        <x:v>{"prompt":"1초 간격으로 위치가 0, 6, 10, 12, 13 m로 측정되었다. 위치와 속도가 각각 증가·일정·감소 중 무엇인지 고르시오.","answer":"위치는 증가, 속도는 감소","explanation":"위치는 계속 커지지만 1초당 변위가 6, 4, 2, 1 m로 줄어들어 속도는 감소한다.","inputMode":"choice","acceptableAnswers":["위치 증가·속도 감소","3"],"choices":["위치 증가·속도 증가","위치 증가·속도 일정","위치 증가·속도 감소","위치 감소·속도 감소"]}</x:v>
      </x:c>
      <x:c r="N5" s="56" t="str">
        <x:v>verified</x:v>
      </x:c>
      <x:c r="O5" s="56" t="str"/>
      <x:c r="P5" s="56" t="str">
        <x:v>{"page":1,"crop":[55,1490,675,420]}</x:v>
      </x:c>
    </x:row>
    <x:row r="6" ht="44" customHeight="1">
      <x:c r="A6" s="56" t="str">
        <x:v>physics1-basic-r02</x:v>
      </x:c>
      <x:c r="B6" s="56" t="n">
        <x:v>5</x:v>
      </x:c>
      <x:c r="C6" s="56" t="str">
        <x:v>subjective</x:v>
      </x:c>
      <x:c r="D6" s="56" t="str">
        <x:v>achievement</x:v>
      </x:c>
      <x:c r="E6" s="56" t="n">
        <x:v>10</x:v>
      </x:c>
      <x:c r="F6" s="56" t="str">
        <x:v>운동의 기술</x:v>
      </x:c>
      <x:c r="G6" s="56" t="str">
        <x:v>평균 속력과 평균 속도</x:v>
      </x:c>
      <x:c r="H6" s="56" t="str">
        <x:v>하</x:v>
      </x:c>
      <x:c r="I6" s="56" t="str">
        <x:v>{"display":"총 이동 거리는 20 m, 총 시간은 10 s이므로 평균 속력은 2 m/s이다. 출발점으로 돌아와 총 변위가 0이므로 평균 속도의 크기는 0 m/s이다.","answerKey":null}</x:v>
      </x:c>
      <x:c r="J6" s="56" t="str">
        <x:v>[{"criterion":"평균 속력 2 m/s","points":5},{"criterion":"평균 속도 크기 0 m/s","points":5}]</x:v>
      </x:c>
      <x:c r="K6" s="56" t="str">
        <x:v>{"steps":["평균 속력은 총 이동 거리/총 시간이다.","평균 속도는 총 변위/총 시간이다."],"formulas":["평균 속력=총 이동 거리/총 시간","평균 속도=총 변위/총 시간"],"commonMistakes":["왕복 거리 20 m 대신 한쪽 거리 10 m만 쓰는 것","평균 속력과 평균 속도를 같은 값으로 쓰는 것"]}</x:v>
      </x:c>
      <x:c r="L6" s="56" t="str">
        <x:v>{}</x:v>
      </x:c>
      <x:c r="M6" s="56" t="str">
        <x:v>{"prompt":"A와 B가 15 m 떨어져 있다. A에서 B까지 3 s, B에서 A까지 2 s가 걸렸다. 왕복 평균 속력과 평균 속도의 크기를 구하시오.","answer":"평균 속력 6 m/s, 평균 속도 크기 0 m/s","explanation":"총 이동 거리 30 m, 총 시간 5 s이므로 6 m/s이다. 최종 위치가 출발점과 같아 변위는 0이다.","inputMode":"text","acceptableAnswers":["6,0","6 m/s, 0 m/s","평균속력 6 평균속도 0"]}</x:v>
      </x:c>
      <x:c r="N6" s="56" t="str">
        <x:v>verified</x:v>
      </x:c>
      <x:c r="O6" s="56" t="str"/>
      <x:c r="P6" s="56" t="str">
        <x:v>{"page":1,"crop":[760,205,670,440]}</x:v>
      </x:c>
    </x:row>
    <x:row r="7" ht="44" customHeight="1">
      <x:c r="A7" s="56" t="str">
        <x:v>physics1-basic-r02</x:v>
      </x:c>
      <x:c r="B7" s="56" t="n">
        <x:v>6</x:v>
      </x:c>
      <x:c r="C7" s="56" t="str">
        <x:v>subjective</x:v>
      </x:c>
      <x:c r="D7" s="56" t="str">
        <x:v>achievement</x:v>
      </x:c>
      <x:c r="E7" s="56" t="n">
        <x:v>10</x:v>
      </x:c>
      <x:c r="F7" s="56" t="str">
        <x:v>운동의 기술</x:v>
      </x:c>
      <x:c r="G7" s="56" t="str">
        <x:v>왕복 평균 속력</x:v>
      </x:c>
      <x:c r="H7" s="56" t="str">
        <x:v>중</x:v>
      </x:c>
      <x:c r="I7" s="56" t="str">
        <x:v>{"display":"왕복 거리를 편도 d라 두면 전체 시간은 d/10+d/30=2d/15이다. 총 거리는 2d이므로 평균 속력은 2d÷(2d/15)=15 m/s이다.","answerKey":null}</x:v>
      </x:c>
      <x:c r="J7" s="56" t="str">
        <x:v>[{"criterion":"방향·부호·적용 조건 설정","points":2},{"criterion":"핵심 식 전개","points":3},{"criterion":"수치 계산","points":3},{"criterion":"최종값·단위·해석","points":2}]</x:v>
      </x:c>
      <x:c r="K7" s="56" t="str">
        <x:v>{"steps":["같은 거리를 서로 다른 속력으로 왕복할 때는 산술평균이 아니라 조화평균을 사용한다."],"formulas":["v_avg=2v₁v₂/(v₁+v₂)"],"commonMistakes":["(10+30)/2=20 m/s로 계산하는 것","시간이 느린 구간에서 더 오래 걸린다는 점을 무시하는 것"]}</x:v>
      </x:c>
      <x:c r="L7" s="56" t="str">
        <x:v>{}</x:v>
      </x:c>
      <x:c r="M7" s="56" t="str">
        <x:v>{"prompt":"같은 거리를 갈 때 12 m/s, 돌아올 때 24 m/s로 이동했다. 왕복 평균 속력을 구하시오.","answer":"16 m/s","explanation":"2×12×24/(12+24)=576/36=16 m/s이다.","inputMode":"text","acceptableAnswers":["16","16m/s","16 m/s"]}</x:v>
      </x:c>
      <x:c r="N7" s="56" t="str">
        <x:v>verified</x:v>
      </x:c>
      <x:c r="O7" s="56" t="str"/>
      <x:c r="P7" s="56" t="str">
        <x:v>{"page":1,"crop":[760,620,670,310]}</x:v>
      </x:c>
    </x:row>
    <x:row r="8" ht="44" customHeight="1">
      <x:c r="A8" s="56" t="str">
        <x:v>physics1-basic-r02</x:v>
      </x:c>
      <x:c r="B8" s="56" t="n">
        <x:v>7</x:v>
      </x:c>
      <x:c r="C8" s="56" t="str">
        <x:v>subjective</x:v>
      </x:c>
      <x:c r="D8" s="56" t="str">
        <x:v>achievement</x:v>
      </x:c>
      <x:c r="E8" s="56" t="n">
        <x:v>20</x:v>
      </x:c>
      <x:c r="F8" s="56" t="str">
        <x:v>운동의 기술</x:v>
      </x:c>
      <x:c r="G8" s="56" t="str">
        <x:v>순간속도와 평균속도의 그래프 비교</x:v>
      </x:c>
      <x:c r="H8" s="56" t="str">
        <x:v>중</x:v>
      </x:c>
      <x:c r="I8" s="56" t="str">
        <x:v>{"display":"t₁에서 접선의 기울기는 A가 가장 크고 C가 가장 작으므로 순간속도는 A&gt;B&gt;C이다. 세 물체는 0에서 출발해 t₁에서 같은 위치에 있으므로 0~t₁ 평균속도는 A=B=C이다.","answerKey":null}</x:v>
      </x:c>
      <x:c r="J8" s="56" t="str">
        <x:v>[{"criterion":"순간속도 A&gt;B&gt;C","points":10},{"criterion":"평균속도 A=B=C","points":10}]</x:v>
      </x:c>
      <x:c r="K8" s="56" t="str">
        <x:v>{"steps":["s-t 그래프의 순간 기울기=순간속도","평균속도=두 끝점을 잇는 할선의 기울기"],"formulas":["v(t₁)=ds/dt","v_avg=[s(t₁)-s(0)]/t₁"],"commonMistakes":["곡선의 높이만 보고 순간속도를 비교하는 것","평균속도를 곡선 아래 넓이로 계산하는 것"]}</x:v>
      </x:c>
      <x:c r="L8" s="56" t="str">
        <x:v>{}</x:v>
      </x:c>
      <x:c r="M8" s="56" t="str">
        <x:v>{"prompt":"세 물체 P,Q,R의 s-t 그래프가 원점에서 시작해 t=4 s에 모두 s=20 m에서 만난다. 그 순간 접선 기울기는 각각 8, 5, 2 m/s이다. 순간속도와 0~4 s 평균속도를 비교하시오.","answer":"순간속도 P&gt;Q&gt;R, 평균속도 P=Q=R=5 m/s","explanation":"순간속도는 주어진 접선 기울기이고, 평균속도는 모두 20/4=5 m/s이다.","inputMode":"text","acceptableAnswers":["P&gt;Q&gt;R, P=Q=R","P&gt;Q&gt;R 평균 같음"]}</x:v>
      </x:c>
      <x:c r="N8" s="56" t="str">
        <x:v>verified</x:v>
      </x:c>
      <x:c r="O8" s="56" t="str"/>
      <x:c r="P8" s="56" t="str">
        <x:v>{"page":1,"crop":[760,920,670,570]}</x:v>
      </x:c>
    </x:row>
    <x:row r="9" ht="44" customHeight="1">
      <x:c r="A9" s="56" t="str">
        <x:v>physics1-basic-r02</x:v>
      </x:c>
      <x:c r="B9" s="56" t="n">
        <x:v>8</x:v>
      </x:c>
      <x:c r="C9" s="56" t="str">
        <x:v>subjective</x:v>
      </x:c>
      <x:c r="D9" s="56" t="str">
        <x:v>achievement</x:v>
      </x:c>
      <x:c r="E9" s="56" t="n">
        <x:v>10</x:v>
      </x:c>
      <x:c r="F9" s="56" t="str">
        <x:v>운동의 기술</x:v>
      </x:c>
      <x:c r="G9" s="56" t="str">
        <x:v>가속도-시간 그래프 적분</x:v>
      </x:c>
      <x:c r="H9" s="56" t="str">
        <x:v>중</x:v>
      </x:c>
      <x:c r="I9" s="56" t="str">
        <x:v>{"display":"0~2 s: a=2이므로 v는 0→4 m/s, 변위는 (0+4)/2×2=4 m. 2~4 s: v=4 m/s로 변위 8 m. 4~6 s: a=-4이므로 v는 4→-4 m/s, 평균속도가 0이라 순변위는 0. 총 변위는 12 m이다.","answerKey":null}</x:v>
      </x:c>
      <x:c r="J9" s="56" t="str">
        <x:v>[{"criterion":"방향·부호·적용 조건 설정","points":2},{"criterion":"핵심 식 전개","points":3},{"criterion":"수치 계산","points":3},{"criterion":"최종값·단위·해석","points":2}]</x:v>
      </x:c>
      <x:c r="K9" s="56" t="str">
        <x:v>{"steps":["a-t 그래프를 적분하면 속도 변화량이다.","각 구간 변위는 v-t 그래프의 부호 있는 넓이이다."],"formulas":["Δv=∫a dt","Δs=∫v dt"],"commonMistakes":["마지막 구간의 이동 거리를 변위에 그대로 더하는 것","가속도 그래프의 넓이를 바로 변위로 보는 것"]}</x:v>
      </x:c>
      <x:c r="L9" s="56" t="str">
        <x:v>{}</x:v>
      </x:c>
      <x:c r="M9" s="56" t="str">
        <x:v>{"prompt":"정지한 물체의 가속도가 0~3 s에는 2 m/s², 3~5 s에는 0, 5~7 s에는 -3 m/s²이다. 7 s까지 총 변위를 구하시오.","answer":"27 m","explanation":"0~3 s 변위 9 m, 3~5 s 변위 12 m, 5~7 s 속도 6→0이므로 변위 6 m. 합은 27 m이다.","inputMode":"text","acceptableAnswers":["27","27m","27 m"]}</x:v>
      </x:c>
      <x:c r="N9" s="56" t="str">
        <x:v>verified</x:v>
      </x:c>
      <x:c r="O9" s="56" t="str"/>
      <x:c r="P9" s="56" t="str">
        <x:v>{"page":1,"crop":[760,1490,670,430]}</x:v>
      </x:c>
    </x:row>
    <x:row r="10" ht="44" customHeight="1">
      <x:c r="A10" s="56" t="str">
        <x:v>physics1-basic-r03</x:v>
      </x:c>
      <x:c r="B10" s="56" t="n">
        <x:v>1</x:v>
      </x:c>
      <x:c r="C10" s="56" t="str">
        <x:v>subjective</x:v>
      </x:c>
      <x:c r="D10" s="56" t="str">
        <x:v>achievement</x:v>
      </x:c>
      <x:c r="E10" s="56" t="n">
        <x:v>15</x:v>
      </x:c>
      <x:c r="F10" s="56" t="str">
        <x:v>운동의 기술</x:v>
      </x:c>
      <x:c r="G10" s="56" t="str">
        <x:v>v-t 그래프와 평균량 비교</x:v>
      </x:c>
      <x:c r="H10" s="56" t="str">
        <x:v>중</x:v>
      </x:c>
      <x:c r="I10" s="56" t="str">
        <x:v>{"display":"① 5초 순간속도: A=B=C=20 m/s. ② 0~5초 평균속도: C&gt;B&gt;A. ③ 0~5초 평균가속도: A=B=C=4 m/s².","answerKey":null}</x:v>
      </x:c>
      <x:c r="J10" s="56" t="str">
        <x:v>[{"criterion":"5초 순간속도 A=B=C","points":5},{"criterion":"평균속도 C&gt;B&gt;A","points":5},{"criterion":"평균가속도 A=B=C","points":5}]</x:v>
      </x:c>
      <x:c r="K10" s="56" t="str">
        <x:v>{"steps":["순간속도는 v-t 그래프의 세로값이므로 세 곡선이 만나는 5초에서는 모두 같다.","평균속도는 v-t 그래프 아래 넓이를 시간으로 나눈 값이다. 같은 끝점을 잇는 직선 B보다 위에 있는 C의 넓이가 크고, 아래에 있는 A의 넓이가 작다.","평균가속도는 (v_f-v_i)/Δt이며 세 물체의 처음·끝 속도가 같으므로 모두 같다."],"formulas":["v_avg=(1/Δt)∫vdt","a_avg=(v_f-v_i)/Δt"],"commonMistakes":["v-t 그래프에서 평균속도를 단순히 (처음속도+나중속도)/2로 계산하는 것(등가속도일 때만 가능)","곡선의 기울기와 속도 값을 혼동하는 것"]}</x:v>
      </x:c>
      <x:c r="L10" s="56" t="str">
        <x:v>{}</x:v>
      </x:c>
      <x:c r="M10" s="56" t="str">
        <x:v>{"prompt":"세 물체 P,Q,R의 v-t 그래프가 (0,0)과 (4 s,16 m/s)를 잇는다. P는 직선 아래, Q는 직선, R은 직선 위에 놓인다. 4초 순간속도·평균속도·평균가속도를 비교하시오.","answer":"순간속도 P=Q=R, 평균속도 R&gt;Q&gt;P, 평균가속도 P=Q=R","explanation":"끝점의 세로값과 속도 변화량은 같고, 평균속도만 그래프 아래 넓이에 따라 달라진다.","inputMode":"text","acceptableAnswers":["P=Q=R, R&gt;Q&gt;P, P=Q=R","순간 같음 평균 R&gt;Q&gt;P 가속도 같음"]}</x:v>
      </x:c>
      <x:c r="N10" s="56" t="str">
        <x:v>verified</x:v>
      </x:c>
      <x:c r="O10" s="56" t="str"/>
      <x:c r="P10" s="56" t="str">
        <x:v>{"page":1,"crop":[55,190,675,570]}</x:v>
      </x:c>
    </x:row>
    <x:row r="11" ht="44" customHeight="1">
      <x:c r="A11" s="56" t="str">
        <x:v>physics1-basic-r03</x:v>
      </x:c>
      <x:c r="B11" s="56" t="n">
        <x:v>2</x:v>
      </x:c>
      <x:c r="C11" s="56" t="str">
        <x:v>subjective</x:v>
      </x:c>
      <x:c r="D11" s="56" t="str">
        <x:v>achievement</x:v>
      </x:c>
      <x:c r="E11" s="56" t="n">
        <x:v>15</x:v>
      </x:c>
      <x:c r="F11" s="56" t="str">
        <x:v>벡터</x:v>
      </x:c>
      <x:c r="G11" s="56" t="str">
        <x:v>벡터의 합과 차</x:v>
      </x:c>
      <x:c r="H11" s="56" t="str">
        <x:v>중</x:v>
      </x:c>
      <x:c r="I11" s="56" t="str">
        <x:v>{"display":"그림의 한 변 방향 성분을 1이라 두면 A=(-1,0), B=(-1,1), C=(0,1), D=(1,1), E=(1,0), F=(1,-1), G=(0,-1), H=(-1,-1)이다. 따라서 ① B+E=C, ② D-F=2C, ③ C+E-D=0벡터.","answerKey":null}</x:v>
      </x:c>
      <x:c r="J11" s="56" t="str">
        <x:v>[{"criterion":"B+E=C","points":5},{"criterion":"D-F=2C","points":5},{"criterion":"C+E-D=0벡터","points":5}]</x:v>
      </x:c>
      <x:c r="K11" s="56" t="str">
        <x:v>{"steps":["벡터는 화살표의 끝점 좌표를 성분으로 나타내면 합과 차를 바로 계산할 수 있다.","대각선 벡터의 크기는 축 방향 벡터보다 √2배이지만 각 성분은 축 방향 벡터와 같다."],"formulas":["(x₁,y₁)+(x₂,y₂)=(x₁+x₂,y₁+y₂)","벡터의 뺄셈은 반대 벡터를 더하는 것"],"commonMistakes":["벡터의 크기만 더하고 방향을 무시하는 것","D-F를 F-D로 계산하는 것"]}</x:v>
      </x:c>
      <x:c r="L11" s="56" t="str">
        <x:v>{}</x:v>
      </x:c>
      <x:c r="M11" s="56" t="str">
        <x:v>{"prompt":"정사각형 중심에서 오른쪽을 E, 위를 N, 오른쪽 위 대각선을 NE, 오른쪽 아래 대각선을 SE라 하자. ① NE+W ② NE-SE ③ N+E-NE를 구하시오. 단, 대각선 벡터의 각 성분은 축 벡터 1개와 같다.","answer":"① N ② 2N ③ 0벡터","explanation":"NE=(1,1), W=(-1,0), SE=(1,-1), N=(0,1), E=(1,0)로 두고 성분별로 계산한다.","inputMode":"text","acceptableAnswers":["N,2N,0","위, 위의 2배, 0"]}</x:v>
      </x:c>
      <x:c r="N11" s="56" t="str">
        <x:v>corrected</x:v>
      </x:c>
      <x:c r="O11" s="56" t="str">
        <x:v>문제 본문은 'B, D, F, G의 크기'라고 적혀 있으나 그림의 대칭과 의도상 마지막 G는 H가 타당하다. 사이트에는 'B, D, F, H'로 교정해 적용한다.</x:v>
      </x:c>
      <x:c r="P11" s="56" t="str">
        <x:v>{"page":1,"crop":[55,760,675,610]}</x:v>
      </x:c>
    </x:row>
    <x:row r="12" ht="44" customHeight="1">
      <x:c r="A12" s="56" t="str">
        <x:v>physics1-basic-r03</x:v>
      </x:c>
      <x:c r="B12" s="56" t="n">
        <x:v>3</x:v>
      </x:c>
      <x:c r="C12" s="56" t="str">
        <x:v>subjective</x:v>
      </x:c>
      <x:c r="D12" s="56" t="str">
        <x:v>achievement</x:v>
      </x:c>
      <x:c r="E12" s="56" t="n">
        <x:v>10</x:v>
      </x:c>
      <x:c r="F12" s="56" t="str">
        <x:v>벡터</x:v>
      </x:c>
      <x:c r="G12" s="56" t="str">
        <x:v>상대속도</x:v>
      </x:c>
      <x:c r="H12" s="56" t="str">
        <x:v>중</x:v>
      </x:c>
      <x:c r="I12" s="56" t="str">
        <x:v>{"display":"동쪽을 +x, 북쪽을 +y로 두면 사람 속도는 (10,0), 남풍의 공기 속도는 (0,10)이다. 사람이 느끼는 바람은 v_air-v_person=(-10,10)이므로 속력은 10√2 m/s, 방향은 북서쪽이다(즉 남동쪽에서 불어오는 바람).","answerKey":null}</x:v>
      </x:c>
      <x:c r="J12" s="56" t="str">
        <x:v>[{"criterion":"방향·부호·적용 조건 설정","points":2},{"criterion":"핵심 식 전개","points":3},{"criterion":"수치 계산","points":3},{"criterion":"최종값·단위·해석","points":2}]</x:v>
      </x:c>
      <x:c r="K12" s="56" t="str">
        <x:v>{"steps":["'남풍'은 남쪽에서 북쪽으로 부는 바람이다.","상대속도는 관찰 대상의 속도에서 관찰자의 속도를 뺀다."],"formulas":["v_rel=v_air-v_person","|(-10,10)|=10√2"],"commonMistakes":["남풍을 남쪽으로 부는 바람으로 해석하는 것","사람 속도와 바람 속도를 그냥 더하는 것"]}</x:v>
      </x:c>
      <x:c r="L12" s="56" t="str">
        <x:v>{}</x:v>
      </x:c>
      <x:c r="M12" s="56" t="str">
        <x:v>{"prompt":"북쪽으로 6 m/s로 달리는 사람에게 서풍이 8 m/s로 분다. 사람이 느끼는 바람의 속력과 진행 방향을 구하시오.","answer":"10 m/s, 남동쪽","explanation":"서풍의 공기 속도는 동쪽 8 m/s이다. 상대속도=(8,0)-(0,6)=(8,-6)이므로 크기는 10 m/s, 흐름 방향은 남동쪽이다(북서쪽에서 불어오는 바람).","inputMode":"text","acceptableAnswers":["10 남동","10m/s 남동쪽","남동쪽 10"]}</x:v>
      </x:c>
      <x:c r="N12" s="56" t="str">
        <x:v>verified</x:v>
      </x:c>
      <x:c r="O12" s="56" t="str">
        <x:v>동형 문제의 방향 표현은 벡터가 향하는 방향(공기 흐름 방향)을 기준으로 한다.</x:v>
      </x:c>
      <x:c r="P12" s="56" t="str">
        <x:v>{"page":1,"crop":[55,1380,675,400]}</x:v>
      </x:c>
    </x:row>
    <x:row r="13" ht="44" customHeight="1">
      <x:c r="A13" s="56" t="str">
        <x:v>physics1-basic-r03</x:v>
      </x:c>
      <x:c r="B13" s="56" t="n">
        <x:v>4</x:v>
      </x:c>
      <x:c r="C13" s="56" t="str">
        <x:v>subjective</x:v>
      </x:c>
      <x:c r="D13" s="56" t="str">
        <x:v>achievement</x:v>
      </x:c>
      <x:c r="E13" s="56" t="n">
        <x:v>10</x:v>
      </x:c>
      <x:c r="F13" s="56" t="str">
        <x:v>운동의 기술</x:v>
      </x:c>
      <x:c r="G13" s="56" t="str">
        <x:v>시간기록계 분석</x:v>
      </x:c>
      <x:c r="H13" s="56" t="str">
        <x:v>중</x:v>
      </x:c>
      <x:c r="I13" s="56" t="str">
        <x:v>{"display":"5타점 구간을 0.10 s로 보면 A→D 시간은 0.30 s, 이동 거리는 2+4+6=12 cm=0.12 m이므로 평균속도는 0.40 m/s이다. 각 구간 평균속도는 0.20, 0.40, 0.60 m/s이고 첫·셋째 구간의 중간 시각 차가 0.20 s이므로 평균가속도는 (0.60-0.20)/0.20=2.0 m/s²이다.","answerKey":null}</x:v>
      </x:c>
      <x:c r="J13" s="56" t="str">
        <x:v>[{"criterion":"평균속도 0.40 m/s","points":5},{"criterion":"평균가속도 2.0 m/s²","points":5}]</x:v>
      </x:c>
      <x:c r="K13" s="56" t="str">
        <x:v>{"steps":["50 Hz 시간기록계의 한 타점 간격은 0.02 s이다.","5타점 간격은 수업 관례상 5개의 시간 간격, 즉 0.10 s로 해석한다."],"formulas":["v_avg=총거리/총시간","a_avg=Δv/Δt"],"commonMistakes":["점의 개수와 점 사이 간격의 개수를 혼동하는 것","cm를 m로 바꾸지 않는 것","가속도 계산에서 AB와 CD 속도의 시각 차를 0.3 s로 두는 것"]}</x:v>
      </x:c>
      <x:c r="L13" s="56" t="str">
        <x:v>{}</x:v>
      </x:c>
      <x:c r="M13" s="56" t="str">
        <x:v>{"prompt":"50 Hz 시간기록계에서 5타점 간격의 이동 거리가 차례로 3 cm, 5 cm, 7 cm였다. 첫 구간 시작부터 셋째 구간 끝까지 평균속도와 평균가속도를 구하시오.","answer":"평균속도 0.50 m/s, 평균가속도 2.0 m/s²","explanation":"총 15 cm를 0.30 s에 이동해 평균속도는 0.50 m/s이다. 구간 속도는 0.30,0.50,0.70 m/s이고 첫·셋째 구간 중심 시각 차 0.20 s이므로 가속도는 2.0 m/s²이다.","inputMode":"text","acceptableAnswers":["0.5,2","0.50 m/s, 2.0 m/s²"]}</x:v>
      </x:c>
      <x:c r="N13" s="56" t="str">
        <x:v>verified</x:v>
      </x:c>
      <x:c r="O13" s="56" t="str"/>
      <x:c r="P13" s="56" t="str">
        <x:v>{"page":1,"crop":[760,190,670,500]}</x:v>
      </x:c>
    </x:row>
    <x:row r="14" ht="44" customHeight="1">
      <x:c r="A14" s="56" t="str">
        <x:v>physics1-basic-r03</x:v>
      </x:c>
      <x:c r="B14" s="56" t="n">
        <x:v>5</x:v>
      </x:c>
      <x:c r="C14" s="56" t="str">
        <x:v>subjective</x:v>
      </x:c>
      <x:c r="D14" s="56" t="str">
        <x:v>achievement</x:v>
      </x:c>
      <x:c r="E14" s="56" t="n">
        <x:v>20</x:v>
      </x:c>
      <x:c r="F14" s="56" t="str">
        <x:v>운동의 기술</x:v>
      </x:c>
      <x:c r="G14" s="56" t="str">
        <x:v>등가속도 운동과 방향 전환</x:v>
      </x:c>
      <x:c r="H14" s="56" t="str">
        <x:v>중</x:v>
      </x:c>
      <x:c r="I14" s="56" t="str">
        <x:v>{"display":"① a=(-2-4)/3=-2 m/s². ② v=4-2t=0에서 t=2 s. ③ 가속도는 계속 음의 방향이므로 속도가 음수가 되는 2&lt;t≤3 s에서 같은 방향. ④ x=4t-t²이고 t=2 s에서 최대이므로 x_max=4 m.","answerKey":null}</x:v>
      </x:c>
      <x:c r="J14" s="56" t="str">
        <x:v>[{"criterion":"가속도 -2 m/s²","points":5},{"criterion":"정지 시각 2 s","points":5},{"criterion":"같은 방향 구간 2&lt;t≤3 s","points":5},{"criterion":"최대 변위 4 m","points":5}]</x:v>
      </x:c>
      <x:c r="K14" s="56" t="str">
        <x:v>{"steps":["속도가 0이 되는 시점이 방향 전환 시점이다.","위치의 극값은 v=dx/dt=0일 때 나타난다."],"formulas":["v=v₀+at","x=v₀t+½at²"],"commonMistakes":["속력과 속도의 부호를 혼동하는 것","t=3 s의 변위를 최대 변위로 쓰는 것","v=0인 순간에도 방향이 있다고 보는 것"]}</x:v>
      </x:c>
      <x:c r="L14" s="56" t="str">
        <x:v>{}</x:v>
      </x:c>
      <x:c r="M14" s="56" t="str">
        <x:v>{"prompt":"처음속도 6 m/s인 물체가 a=-3 m/s²로 0~4 s 동안 운동한다. ① 정지 시각 ② 속도와 가속도의 방향이 같은 구간 ③ 원점으로부터 최대 변위를 구하시오.","answer":"① 2 s ② 2&lt;t≤4 s ③ 6 m","explanation":"v=6-3t이므로 2 s에 0이다. 이후 v와 a가 모두 음수이다. x=6t-1.5t²의 최대는 t=2 s에서 6 m이다.","inputMode":"text","acceptableAnswers":["2, 2&lt;t&lt;=4, 6","2s,2~4s,6m"]}</x:v>
      </x:c>
      <x:c r="N14" s="56" t="str">
        <x:v>verified</x:v>
      </x:c>
      <x:c r="O14" s="56" t="str"/>
      <x:c r="P14" s="56" t="str">
        <x:v>{"page":1,"crop":[760,680,670,535]}</x:v>
      </x:c>
    </x:row>
    <x:row r="15" ht="44" customHeight="1">
      <x:c r="A15" s="56" t="str">
        <x:v>physics1-basic-r03</x:v>
      </x:c>
      <x:c r="B15" s="56" t="n">
        <x:v>6</x:v>
      </x:c>
      <x:c r="C15" s="56" t="str">
        <x:v>subjective</x:v>
      </x:c>
      <x:c r="D15" s="56" t="str">
        <x:v>achievement</x:v>
      </x:c>
      <x:c r="E15" s="56" t="n">
        <x:v>15</x:v>
      </x:c>
      <x:c r="F15" s="56" t="str">
        <x:v>운동의 기술</x:v>
      </x:c>
      <x:c r="G15" s="56" t="str">
        <x:v>등가속도 공식</x:v>
      </x:c>
      <x:c r="H15" s="56" t="str">
        <x:v>중</x:v>
      </x:c>
      <x:c r="I15" s="56" t="str">
        <x:v>{"display":"① 30²-10²=2a·40에서 a=10 m/s². ② 정지 상태에서 10 m/s가 될 때 t=10/10=1 s, 이동 거리는 s=½·10·1²=5 m.","answerKey":null}</x:v>
      </x:c>
      <x:c r="J15" s="56" t="str">
        <x:v>[{"criterion":"가속도 10 m/s²","points":5},{"criterion":"10 m/s까지 시간 1 s","points":5},{"criterion":"그때까지 거리 5 m","points":5}]</x:v>
      </x:c>
      <x:c r="K15" s="56" t="str">
        <x:v>{"steps":["시간이 직접 주어지지 않은 구간은 v²-v₀²=2as를 사용한다.","처음부터 10 m/s까지는 정지 상태에서 같은 가속도로 운동한다."],"formulas":["v²-v₀²=2as","v=v₀+at","s=½at² (v₀=0)"],"commonMistakes":["40 m 구간을 처음 정지 시점부터의 거리로 보는 것","가속도를 구한 뒤 초기 구간에서 v₀=10을 쓰는 것"]}</x:v>
      </x:c>
      <x:c r="L15" s="56" t="str">
        <x:v>{}</x:v>
      </x:c>
      <x:c r="M15" s="56" t="str">
        <x:v>{"prompt":"정지한 열차가 일정한 가속도로 움직인다. 속도가 8 m/s인 순간부터 48 m를 더 간 뒤 16 m/s가 되었다. 가속도와 8 m/s가 될 때까지의 시간·거리를 구하시오.","answer":"a=2 m/s², 시간 4 s, 거리 16 m","explanation":"16²-8²=2a·48에서 a=2이다. 정지에서 8 m/s까지 t=4 s, s=½·2·4²=16 m이다.","inputMode":"text","acceptableAnswers":["2,4,16","2m/s2,4s,16m"]}</x:v>
      </x:c>
      <x:c r="N15" s="56" t="str">
        <x:v>verified</x:v>
      </x:c>
      <x:c r="O15" s="56" t="str"/>
      <x:c r="P15" s="56" t="str">
        <x:v>{"page":1,"crop":[760,1210,670,460]}</x:v>
      </x:c>
    </x:row>
    <x:row r="16" ht="44" customHeight="1">
      <x:c r="A16" s="56" t="str">
        <x:v>physics1-basic-r03</x:v>
      </x:c>
      <x:c r="B16" s="56" t="n">
        <x:v>7</x:v>
      </x:c>
      <x:c r="C16" s="56" t="str">
        <x:v>subjective</x:v>
      </x:c>
      <x:c r="D16" s="56" t="str">
        <x:v>achievement</x:v>
      </x:c>
      <x:c r="E16" s="56" t="n">
        <x:v>15</x:v>
      </x:c>
      <x:c r="F16" s="56" t="str">
        <x:v>운동의 기술</x:v>
      </x:c>
      <x:c r="G16" s="56" t="str">
        <x:v>s-t에서 v-t 정성 추론</x:v>
      </x:c>
      <x:c r="H16" s="56" t="str">
        <x:v>중</x:v>
      </x:c>
      <x:c r="I16" s="56" t="str">
        <x:v>{"display":"처음에는 s가 증가하므로 v&gt;0, 최고점에서는 접선 기울기가 0이므로 v=0, 이후 s가 감소하므로 v&lt;0이다. 곡선의 기울기가 계속 작아지는 모양이므로 v-t 그래프는 양수에서 0을 지나 음수로 내려가는 형태이다. 다만 원문 곡선만으로 v가 정확히 직선인지, 가속도가 일정한지는 확정할 수 없다.","answerKey":null}</x:v>
      </x:c>
      <x:c r="J16" s="56" t="str">
        <x:v>[{"criterion":"초기 v&gt;0","points":3},{"criterion":"최고점에서 v=0","points":3},{"criterion":"이후 v&lt;0","points":3},{"criterion":"감속·정지·방향 전환 설명","points":4},{"criterion":"정확한 직선성을 단정하지 않음","points":2}]</x:v>
      </x:c>
      <x:c r="K16" s="56" t="str">
        <x:v>{"steps":["s-t 그래프의 기울기가 v이다.","위치가 최대인 순간 물체는 잠시 정지한 뒤 반대 방향으로 움직인다."],"formulas":["v=ds/dt"],"commonMistakes":["반원처럼 보인다는 이유로 정확한 함수식을 임의로 정하는 것","위치가 감소하는 구간을 속력 감소로 해석하는 것"]}</x:v>
      </x:c>
      <x:c r="L16" s="56" t="str">
        <x:v>{}</x:v>
      </x:c>
      <x:c r="M16" s="56" t="str">
        <x:v>{"prompt":"물체의 s-t 그래프가 처음에는 증가하되 기울기가 줄어들어 t=3 s에 최대가 되고, 이후 감소하며 기울기의 절댓값이 커진다. v의 부호와 운동 상태를 서술하시오.","answer":"0~3 s에는 v&gt;0이며 감속, 3 s에 v=0, 이후 v&lt;0이며 반대 방향으로 가속된다.","explanation":"위치 그래프의 기울기 부호가 운동 방향을, 기울기 절댓값이 속력을 나타낸다.","inputMode":"text","acceptableAnswers":["v&gt;0, v=0, v&lt;0","정방향 감속 정지 역방향 가속"]}</x:v>
      </x:c>
      <x:c r="N16" s="56" t="str">
        <x:v>ambiguous</x:v>
      </x:c>
      <x:c r="O16" s="56" t="str">
        <x:v>원문에는 축 눈금과 함수식이 없어 정확한 v-t 곡선의 모양(직선 여부)은 하나로 정해지지 않는다. 사이트에서는 부호와 정성적 변화만 공개하고, 정확한 개형은 '확인 필요'로 표시한다.</x:v>
      </x:c>
      <x:c r="P16" s="56" t="str">
        <x:v>{"page":1,"crop":[760,1650,670,310]}</x:v>
      </x:c>
    </x:row>
    <x:row r="17" ht="44" customHeight="1">
      <x:c r="A17" s="56" t="str">
        <x:v>physics1-basic-r04</x:v>
      </x:c>
      <x:c r="B17" s="56" t="n">
        <x:v>1</x:v>
      </x:c>
      <x:c r="C17" s="56" t="str">
        <x:v>subjective</x:v>
      </x:c>
      <x:c r="D17" s="56" t="str">
        <x:v>achievement</x:v>
      </x:c>
      <x:c r="E17" s="56" t="n">
        <x:v>10</x:v>
      </x:c>
      <x:c r="F17" s="56" t="str">
        <x:v>힘과 운동</x:v>
      </x:c>
      <x:c r="G17" s="56" t="str">
        <x:v>자유낙하</x:v>
      </x:c>
      <x:c r="H17" s="56" t="str">
        <x:v>하</x:v>
      </x:c>
      <x:c r="I17" s="56" t="str">
        <x:v>{"display":"공기 저항을 무시하고 g=10 m/s²로 두면 320=½·10·t²이므로 t²=64, t=8 s이다.","answerKey":null}</x:v>
      </x:c>
      <x:c r="J17" s="56" t="str">
        <x:v>[{"criterion":"방향·부호·적용 조건 설정","points":2},{"criterion":"핵심 식 전개","points":3},{"criterion":"수치 계산","points":3},{"criterion":"최종값·단위·해석","points":2}]</x:v>
      </x:c>
      <x:c r="K17" s="56" t="str">
        <x:v>{"steps":["자유낙하에서 처음속도가 0이면 h=½gt²이다."],"formulas":["h=½gt²","t=√(2h/g)"],"commonMistakes":["320/10=32 s로 계산하는 것","문제에 없는 수평 운동을 고려하는 것"]}</x:v>
      </x:c>
      <x:c r="L17" s="56" t="str">
        <x:v>{}</x:v>
      </x:c>
      <x:c r="M17" s="56" t="str">
        <x:v>{"prompt":"높이 180 m에서 물체를 가만히 떨어뜨렸다. g=10 m/s², 공기 저항 무시. 바닥까지 걸리는 시간을 구하시오.","answer":"6 s","explanation":"180=5t²이므로 t²=36, t=6 s이다.","inputMode":"text","acceptableAnswers":["6","6s","6 s"]}</x:v>
      </x:c>
      <x:c r="N17" s="56" t="str">
        <x:v>corrected</x:v>
      </x:c>
      <x:c r="O17" s="56" t="str">
        <x:v>원문에 중력가속도와 공기 저항 무시 조건이 빠져 있다. 수업 표준 조건 g=10 m/s², 공기 저항 무시를 보완해 적용한다.</x:v>
      </x:c>
      <x:c r="P17" s="56" t="str">
        <x:v>{"page":1,"crop":[55,185,675,215]}</x:v>
      </x:c>
    </x:row>
    <x:row r="18" ht="44" customHeight="1">
      <x:c r="A18" s="56" t="str">
        <x:v>physics1-basic-r04</x:v>
      </x:c>
      <x:c r="B18" s="56" t="n">
        <x:v>2</x:v>
      </x:c>
      <x:c r="C18" s="56" t="str">
        <x:v>subjective</x:v>
      </x:c>
      <x:c r="D18" s="56" t="str">
        <x:v>achievement</x:v>
      </x:c>
      <x:c r="E18" s="56" t="n">
        <x:v>10</x:v>
      </x:c>
      <x:c r="F18" s="56" t="str">
        <x:v>힘과 운동</x:v>
      </x:c>
      <x:c r="G18" s="56" t="str">
        <x:v>힘의 평형</x:v>
      </x:c>
      <x:c r="H18" s="56" t="str">
        <x:v>하</x:v>
      </x:c>
      <x:c r="I18" s="56" t="str">
        <x:v>{"display":"비행기가 등속운동하므로 수평방향 알짜힘은 0이다. 따라서 추진력 5000 N과 반대 방향의 공기 저항력은 5000 N이다.","answerKey":null}</x:v>
      </x:c>
      <x:c r="J18" s="56" t="str">
        <x:v>[{"criterion":"방향·부호·적용 조건 설정","points":2},{"criterion":"핵심 식 전개","points":3},{"criterion":"수치 계산","points":3},{"criterion":"최종값·단위·해석","points":2}]</x:v>
      </x:c>
      <x:c r="K18" s="56" t="str">
        <x:v>{"steps":["등속 직선운동이면 가속도가 0이고 알짜힘도 0이다.","무게 10000 N은 수직방향 양력과 평형을 이룬다."],"formulas":["ΣF=ma=0"],"commonMistakes":["무게와 추진력을 합성하는 것","등속운동인데 알짜힘이 추진력과 같다고 보는 것"]}</x:v>
      </x:c>
      <x:c r="L18" s="56" t="str">
        <x:v>{}</x:v>
      </x:c>
      <x:c r="M18" s="56" t="str">
        <x:v>{"prompt":"자동차가 수평 도로에서 20 m/s로 등속 주행하며 엔진이 1800 N의 추진력을 낸다. 저항력의 크기를 구하시오.","answer":"1800 N","explanation":"등속운동이므로 수평 알짜힘이 0이라 추진력과 저항력이 같다.","inputMode":"text","acceptableAnswers":["1800","1800N","1800 N"]}</x:v>
      </x:c>
      <x:c r="N18" s="56" t="str">
        <x:v>verified</x:v>
      </x:c>
      <x:c r="O18" s="56" t="str"/>
      <x:c r="P18" s="56" t="str">
        <x:v>{"page":1,"crop":[55,385,675,230]}</x:v>
      </x:c>
    </x:row>
    <x:row r="19" ht="44" customHeight="1">
      <x:c r="A19" s="56" t="str">
        <x:v>physics1-basic-r04</x:v>
      </x:c>
      <x:c r="B19" s="56" t="n">
        <x:v>3</x:v>
      </x:c>
      <x:c r="C19" s="56" t="str">
        <x:v>subjective</x:v>
      </x:c>
      <x:c r="D19" s="56" t="str">
        <x:v>achievement</x:v>
      </x:c>
      <x:c r="E19" s="56" t="n">
        <x:v>10</x:v>
      </x:c>
      <x:c r="F19" s="56" t="str">
        <x:v>힘과 운동</x:v>
      </x:c>
      <x:c r="G19" s="56" t="str">
        <x:v>벡터 합력과 가속도</x:v>
      </x:c>
      <x:c r="H19" s="56" t="str">
        <x:v>하</x:v>
      </x:c>
      <x:c r="I19" s="56" t="str">
        <x:v>{"display":"두 힘이 서로 수직이므로 합력은 √(6²+8²)=10 N이다. 질량이 2 kg이므로 a=F_net/m=10/2=5 m/s²이다.","answerKey":null}</x:v>
      </x:c>
      <x:c r="J19" s="56" t="str">
        <x:v>[{"criterion":"방향·부호·적용 조건 설정","points":2},{"criterion":"핵심 식 전개","points":3},{"criterion":"수치 계산","points":3},{"criterion":"최종값·단위·해석","points":2}]</x:v>
      </x:c>
      <x:c r="K19" s="56" t="str">
        <x:v>{"steps":["수직인 두 힘은 피타고라스 정리로 합성한다."],"formulas":["F_net=√(F₁²+F₂²)","a=F_net/m"],"commonMistakes":["힘 6+8=14 N로 단순 합산하는 것","질량을 곱하는 것"]}</x:v>
      </x:c>
      <x:c r="L19" s="56" t="str">
        <x:v>{}</x:v>
      </x:c>
      <x:c r="M19" s="56" t="str">
        <x:v>{"prompt":"질량 5 kg 물체에 서로 수직인 9 N과 12 N의 힘이 작용한다. 가속도 크기를 구하시오.","answer":"3 m/s²","explanation":"합력은 15 N이고 a=15/5=3 m/s²이다.","inputMode":"text","acceptableAnswers":["3","3m/s2","3 m/s²"]}</x:v>
      </x:c>
      <x:c r="N19" s="56" t="str">
        <x:v>verified</x:v>
      </x:c>
      <x:c r="O19" s="56" t="str"/>
      <x:c r="P19" s="56" t="str">
        <x:v>{"page":1,"crop":[55,600,675,285]}</x:v>
      </x:c>
    </x:row>
    <x:row r="20" ht="44" customHeight="1">
      <x:c r="A20" s="56" t="str">
        <x:v>physics1-basic-r04</x:v>
      </x:c>
      <x:c r="B20" s="56" t="n">
        <x:v>4</x:v>
      </x:c>
      <x:c r="C20" s="56" t="str">
        <x:v>subjective</x:v>
      </x:c>
      <x:c r="D20" s="56" t="str">
        <x:v>achievement</x:v>
      </x:c>
      <x:c r="E20" s="56" t="n">
        <x:v>10</x:v>
      </x:c>
      <x:c r="F20" s="56" t="str">
        <x:v>힘과 운동</x:v>
      </x:c>
      <x:c r="G20" s="56" t="str">
        <x:v>작용·반작용과 운동량</x:v>
      </x:c>
      <x:c r="H20" s="56" t="str">
        <x:v>중</x:v>
      </x:c>
      <x:c r="I20" s="56" t="str">
        <x:v>{"display":"두 사람이 서로 미는 동안 받은 충격량의 크기가 같으므로 운동량 크기도 같다. t=2 s에서 철수 8 m/s, 영희 12 m/s이므로 m_철수·8=50·12. 따라서 m_철수=75 kg이다.","answerKey":null}</x:v>
      </x:c>
      <x:c r="J20" s="56" t="str">
        <x:v>[{"criterion":"방향·부호·적용 조건 설정","points":2},{"criterion":"핵심 식 전개","points":3},{"criterion":"수치 계산","points":3},{"criterion":"최종값·단위·해석","points":2}]</x:v>
      </x:c>
      <x:c r="K20" s="56" t="str">
        <x:v>{"steps":["서로 미는 힘은 작용·반작용으로 크기가 같고 작용 시간도 같아 충격량 크기가 같다."],"formulas":["m₁v₁=m₂v₂ (처음 전체 운동량 0)"],"commonMistakes":["속력이 큰 사람이 질량도 크다고 판단하는 것","그래프의 두 속력을 바꾸어 읽는 것"]}</x:v>
      </x:c>
      <x:c r="L20" s="56" t="str">
        <x:v>{}</x:v>
      </x:c>
      <x:c r="M20" s="56" t="str">
        <x:v>{"prompt":"정지한 두 스케이트 선수가 서로 밀었다. 60 kg인 A가 3 m/s, B가 2 m/s로 반대 방향으로 움직였다. B의 질량을 구하시오.","answer":"90 kg","explanation":"처음 운동량이 0이므로 60·3=m_B·2, m_B=90 kg이다.","inputMode":"text","acceptableAnswers":["90","90kg","90 kg"]}</x:v>
      </x:c>
      <x:c r="N20" s="56" t="str">
        <x:v>verified</x:v>
      </x:c>
      <x:c r="O20" s="56" t="str"/>
      <x:c r="P20" s="56" t="str">
        <x:v>{"page":1,"crop":[55,865,675,360]}</x:v>
      </x:c>
    </x:row>
    <x:row r="21" ht="44" customHeight="1">
      <x:c r="A21" s="56" t="str">
        <x:v>physics1-basic-r04</x:v>
      </x:c>
      <x:c r="B21" s="56" t="n">
        <x:v>5</x:v>
      </x:c>
      <x:c r="C21" s="56" t="str">
        <x:v>subjective</x:v>
      </x:c>
      <x:c r="D21" s="56" t="str">
        <x:v>achievement</x:v>
      </x:c>
      <x:c r="E21" s="56" t="n">
        <x:v>15</x:v>
      </x:c>
      <x:c r="F21" s="56" t="str">
        <x:v>힘과 운동</x:v>
      </x:c>
      <x:c r="G21" s="56" t="str">
        <x:v>작용·반작용과 힘의 평형</x:v>
      </x:c>
      <x:c r="H21" s="56" t="str">
        <x:v>중</x:v>
      </x:c>
      <x:c r="I21" s="56" t="str">
        <x:v>{"display":"작용·반작용 관계는 가-다(책상이 물체를 미는 힘 ↔ 물체가 책상을 누르는 힘), 나-라(지구가 물체를 당기는 힘 ↔ 물체가 지구를 당기는 힘)이다. 물체에 작용하면서 서로 평형을 이루는 힘은 가-나이다.","answerKey":null}</x:v>
      </x:c>
      <x:c r="J21" s="56" t="str">
        <x:v>[{"criterion":"가-다 작용·반작용","points":5},{"criterion":"나-라 작용·반작용","points":5},{"criterion":"가-나 힘의 평형","points":5}]</x:v>
      </x:c>
      <x:c r="K21" s="56" t="str">
        <x:v>{"steps":["작용·반작용은 서로 다른 물체에 작용한다.","힘의 평형은 같은 물체에 작용하는 힘들의 합이 0인 상태이다."],"formulas":["작용·반작용: F_AB=-F_BA","평형: ΣF=0"],"commonMistakes":["가와 나를 작용·반작용이라고 쓰는 것","다와 라처럼 서로 관련 없는 힘을 묶는 것"]}</x:v>
      </x:c>
      <x:c r="L21" s="56" t="str">
        <x:v>{}</x:v>
      </x:c>
      <x:c r="M21" s="56" t="str">
        <x:v>{"prompt":"천장에 매달린 전등에 대해 ① 줄이 전등을 위로 당기는 힘 ② 지구가 전등을 아래로 당기는 힘 ③ 전등이 줄을 아래로 당기는 힘 ④ 전등이 지구를 위로 당기는 힘이 있다. 작용·반작용 쌍과 평형 쌍을 쓰시오.","answer":"작용·반작용: ①-③, ②-④. 평형: ①-②.","explanation":"서로 다른 물체에 작용하는 쌍은 작용·반작용이고, 전등 하나에 작용해 합이 0인 ①과 ②가 평형이다.","inputMode":"text","acceptableAnswers":["1-3,2-4,1-2","①③ ②④ 평형①②"]}</x:v>
      </x:c>
      <x:c r="N21" s="56" t="str">
        <x:v>verified</x:v>
      </x:c>
      <x:c r="O21" s="56" t="str"/>
      <x:c r="P21" s="56" t="str">
        <x:v>{"page":1,"crop":[55,1210,675,700]}</x:v>
      </x:c>
    </x:row>
    <x:row r="22" ht="44" customHeight="1">
      <x:c r="A22" s="56" t="str">
        <x:v>physics1-basic-r04</x:v>
      </x:c>
      <x:c r="B22" s="56" t="n">
        <x:v>6</x:v>
      </x:c>
      <x:c r="C22" s="56" t="str">
        <x:v>subjective</x:v>
      </x:c>
      <x:c r="D22" s="56" t="str">
        <x:v>achievement</x:v>
      </x:c>
      <x:c r="E22" s="56" t="n">
        <x:v>10</x:v>
      </x:c>
      <x:c r="F22" s="56" t="str">
        <x:v>힘과 운동</x:v>
      </x:c>
      <x:c r="G22" s="56" t="str">
        <x:v>평형과 장력</x:v>
      </x:c>
      <x:c r="H22" s="56" t="str">
        <x:v>중</x:v>
      </x:c>
      <x:c r="I22" s="56" t="str">
        <x:v>{"display":"실이 연직과 60°이므로 장력의 연직성분은 Tcos60°. 평형에서 Tcos60°=12 N이므로 T=24 N이다.","answerKey":null}</x:v>
      </x:c>
      <x:c r="J22" s="56" t="str">
        <x:v>[{"criterion":"방향·부호·적용 조건 설정","points":2},{"criterion":"핵심 식 전개","points":3},{"criterion":"수치 계산","points":3},{"criterion":"최종값·단위·해석","points":2}]</x:v>
      </x:c>
      <x:c r="K22" s="56" t="str">
        <x:v>{"steps":["수평 힘 F는 장력의 수평성분과 평형을 이룬다.","무게는 장력의 연직성분과 평형을 이룬다."],"formulas":["Tcos60°=W"],"commonMistakes":["60°를 수평선과의 각으로 해석해 sin, cos를 바꾸는 것","T=12 N로 쓰는 것"]}</x:v>
      </x:c>
      <x:c r="L22" s="56" t="str">
        <x:v>{}</x:v>
      </x:c>
      <x:c r="M22" s="56" t="str">
        <x:v>{"prompt":"무게 20 N인 물체가 실에 매달려 있고, 수평 힘 때문에 실이 연직과 60°를 이룬 채 정지했다. 장력을 구하시오.","answer":"40 N","explanation":"Tcos60°=20이므로 T=40 N이다.","inputMode":"text","acceptableAnswers":["40","40N","40 N"]}</x:v>
      </x:c>
      <x:c r="N22" s="56" t="str">
        <x:v>verified</x:v>
      </x:c>
      <x:c r="O22" s="56" t="str"/>
      <x:c r="P22" s="56" t="str">
        <x:v>{"page":1,"crop":[760,185,670,420]}</x:v>
      </x:c>
    </x:row>
    <x:row r="23" ht="44" customHeight="1">
      <x:c r="A23" s="56" t="str">
        <x:v>physics1-basic-r04</x:v>
      </x:c>
      <x:c r="B23" s="56" t="n">
        <x:v>7</x:v>
      </x:c>
      <x:c r="C23" s="56" t="str">
        <x:v>subjective</x:v>
      </x:c>
      <x:c r="D23" s="56" t="str">
        <x:v>achievement</x:v>
      </x:c>
      <x:c r="E23" s="56" t="n">
        <x:v>15</x:v>
      </x:c>
      <x:c r="F23" s="56" t="str">
        <x:v>힘과 운동</x:v>
      </x:c>
      <x:c r="G23" s="56" t="str">
        <x:v>두 줄의 장력 평형</x:v>
      </x:c>
      <x:c r="H23" s="56" t="str">
        <x:v>상</x:v>
      </x:c>
      <x:c r="I23" s="56" t="str">
        <x:v>{"display":"왼쪽 장력을 T_A, 오른쪽 장력을 T_B라 하면 수평평형에서 T_Acos60°=T_Bcos30°, 따라서 T_A=√3T_B. 연직평형에서 T_Asin60°+T_Bsin30°=40. 대입하면 2T_B=40이므로 T_B=20 N, T_A=20√3 N이다.","answerKey":null}</x:v>
      </x:c>
      <x:c r="J23" s="56" t="str">
        <x:v>[{"criterion":"수평 평형식","points":4},{"criterion":"연직 평형식","points":4},{"criterion":"A줄 20√3 N","points":4},{"criterion":"B줄 20 N","points":3}]</x:v>
      </x:c>
      <x:c r="K23" s="56" t="str">
        <x:v>{"steps":["각도는 수평 천장과 이루는 각이다.","수평성분은 상쇄되고 연직성분 합이 무게와 같다."],"formulas":["T_Acos60=T_Bcos30","T_Asin60+T_Bsin30=40"],"commonMistakes":["두 줄의 장력이 같다고 두는 것","각도에 대한 sin과 cos 성분을 바꾸는 것"]}</x:v>
      </x:c>
      <x:c r="L23" s="56" t="str">
        <x:v>{}</x:v>
      </x:c>
      <x:c r="M23" s="56" t="str">
        <x:v>{"prompt":"무게 60 N인 물체를 두 줄이 수평선과 각각 30°, 60°를 이루며 지지한다. 30° 줄의 장력과 60° 줄의 장력을 구하시오.","answer":"30° 줄: 30 N, 60° 줄: 30√3 N","explanation":"수평평형과 연직평형을 연립한다. 60° 줄의 장력이 √3배 크고, 연직성분 합이 60 N이다.","inputMode":"text","acceptableAnswers":["30,30sqrt3","30N,30√3N"]}</x:v>
      </x:c>
      <x:c r="N23" s="56" t="str">
        <x:v>verified</x:v>
      </x:c>
      <x:c r="O23" s="56" t="str"/>
      <x:c r="P23" s="56" t="str">
        <x:v>{"page":1,"crop":[760,590,670,405]}</x:v>
      </x:c>
    </x:row>
    <x:row r="24" ht="44" customHeight="1">
      <x:c r="A24" s="56" t="str">
        <x:v>physics1-basic-r04</x:v>
      </x:c>
      <x:c r="B24" s="56" t="n">
        <x:v>8</x:v>
      </x:c>
      <x:c r="C24" s="56" t="str">
        <x:v>subjective</x:v>
      </x:c>
      <x:c r="D24" s="56" t="str">
        <x:v>achievement</x:v>
      </x:c>
      <x:c r="E24" s="56" t="n">
        <x:v>10</x:v>
      </x:c>
      <x:c r="F24" s="56" t="str">
        <x:v>힘과 운동</x:v>
      </x:c>
      <x:c r="G24" s="56" t="str">
        <x:v>경사면의 힘 분해</x:v>
      </x:c>
      <x:c r="H24" s="56" t="str">
        <x:v>하</x:v>
      </x:c>
      <x:c r="I24" s="56" t="str">
        <x:v>{"display":"마찰이 없는 경사면에서 정지하므로 경사면 방향으로 T=mg sinθ, 경사면에 수직한 방향으로 N=mg cosθ이다.","answerKey":null}</x:v>
      </x:c>
      <x:c r="J24" s="56" t="str">
        <x:v>[{"criterion":"장력 mg sinθ","points":5},{"criterion":"수직항력 mg cosθ","points":5}]</x:v>
      </x:c>
      <x:c r="K24" s="56" t="str">
        <x:v>{"steps":["중력을 경사면 평행·수직 성분으로 분해한다."],"formulas":["mg∥=mg sinθ","mg⊥=mg cosθ"],"commonMistakes":["T와 N을 서로 바꾸는 것","마찰력 가능성을 고려하지 않고도 조건이 충분하다고 보는 것"]}</x:v>
      </x:c>
      <x:c r="L24" s="56" t="str">
        <x:v>{}</x:v>
      </x:c>
      <x:c r="M24" s="56" t="str">
        <x:v>{"prompt":"마찰 없는 30° 경사면에 질량 4 kg 물체를 경사면과 나란한 줄로 묶어 정지시켰다. g=10 m/s². 장력과 수직항력을 구하시오.","answer":"T=20 N, N=20√3 N","explanation":"T=mg sin30=20 N, N=mg cos30=20√3 N이다.","inputMode":"text","acceptableAnswers":["20,20sqrt3","20N,20√3N"]}</x:v>
      </x:c>
      <x:c r="N24" s="56" t="str">
        <x:v>corrected</x:v>
      </x:c>
      <x:c r="O24" s="56" t="str">
        <x:v>원문에는 마찰 유무가 명시되지 않았다. 그림과 예상 답이 하나로 정해지도록 '경사면은 매끄럽다(마찰 없음)'를 보완해 적용한다.</x:v>
      </x:c>
      <x:c r="P24" s="56" t="str">
        <x:v>{"page":1,"crop":[760,980,670,500]}</x:v>
      </x:c>
    </x:row>
    <x:row r="25" ht="44" customHeight="1">
      <x:c r="A25" s="56" t="str">
        <x:v>physics1-basic-r04</x:v>
      </x:c>
      <x:c r="B25" s="56" t="n">
        <x:v>9</x:v>
      </x:c>
      <x:c r="C25" s="56" t="str">
        <x:v>subjective</x:v>
      </x:c>
      <x:c r="D25" s="56" t="str">
        <x:v>achievement</x:v>
      </x:c>
      <x:c r="E25" s="56" t="n">
        <x:v>10</x:v>
      </x:c>
      <x:c r="F25" s="56" t="str">
        <x:v>힘과 운동</x:v>
      </x:c>
      <x:c r="G25" s="56" t="str">
        <x:v>접촉력</x:v>
      </x:c>
      <x:c r="H25" s="56" t="str">
        <x:v>중</x:v>
      </x:c>
      <x:c r="I25" s="56" t="str">
        <x:v>{"display":"수평면이 매끄럽다고 보면 전체 질량은 3 kg, 가속도는 6/3=2 m/s²이다. 1 kg 물체를 가속시키는 수평힘은 접촉력뿐이므로 접촉력은 1·2=2 N이다.","answerKey":null}</x:v>
      </x:c>
      <x:c r="J25" s="56" t="str">
        <x:v>[{"criterion":"방향·부호·적용 조건 설정","points":2},{"criterion":"핵심 식 전개","points":3},{"criterion":"수치 계산","points":3},{"criterion":"최종값·단위·해석","points":2}]</x:v>
      </x:c>
      <x:c r="K25" s="56" t="str">
        <x:v>{"steps":["전체를 한 덩어리로 보아 가속도를 먼저 구한다.","접촉력은 한 물체만 떼어 자유물체도로 구한다."],"formulas":["a=F/(m₁+m₂)","F_contact=m₂a"],"commonMistakes":["접촉력을 6 N이라고 하는 것","2 kg 물체의 질량을 곱해 4 N이라고 하는 것"]}</x:v>
      </x:c>
      <x:c r="L25" s="56" t="str">
        <x:v>{}</x:v>
      </x:c>
      <x:c r="M25" s="56" t="str">
        <x:v>{"prompt":"매끄러운 수평면에서 3 kg과 2 kg 상자가 붙어 있다. 3 kg 상자를 15 N으로 민다. 두 상자 사이 접촉력을 구하시오.","answer":"6 N","explanation":"전체 가속도는 15/5=3 m/s²이고, 2 kg 상자에 필요한 힘은 2·3=6 N이다.","inputMode":"text","acceptableAnswers":["6","6N","6 N"]}</x:v>
      </x:c>
      <x:c r="N25" s="56" t="str">
        <x:v>corrected</x:v>
      </x:c>
      <x:c r="O25" s="56" t="str">
        <x:v>원문에 마찰 조건이 없다. 수치가 하나로 정해지도록 수평면은 매끄럽다고 보완한다.</x:v>
      </x:c>
      <x:c r="P25" s="56" t="str">
        <x:v>{"page":1,"crop":[760,1470,670,450]}</x:v>
      </x:c>
    </x:row>
    <x:row r="26" ht="44" customHeight="1">
      <x:c r="A26" s="56" t="str">
        <x:v>physics1-basic-r05</x:v>
      </x:c>
      <x:c r="B26" s="56" t="n">
        <x:v>1</x:v>
      </x:c>
      <x:c r="C26" s="56" t="str">
        <x:v>subjective</x:v>
      </x:c>
      <x:c r="D26" s="56" t="str">
        <x:v>achievement</x:v>
      </x:c>
      <x:c r="E26" s="56" t="n">
        <x:v>5</x:v>
      </x:c>
      <x:c r="F26" s="56" t="str">
        <x:v>힘과 운동</x:v>
      </x:c>
      <x:c r="G26" s="56" t="str">
        <x:v>최대 정지마찰력</x:v>
      </x:c>
      <x:c r="H26" s="56" t="str">
        <x:v>하</x:v>
      </x:c>
      <x:c r="I26" s="56" t="str">
        <x:v>{"display":"수평면에서 N=mg=4×10=40 N. 최대 정지마찰력은 f_s,max=μ_sN=0.5×40=20 N이다.","answerKey":null}</x:v>
      </x:c>
      <x:c r="J26" s="56" t="str">
        <x:v>[{"criterion":"핵심 식 또는 물리 관계 설정","points":2},{"criterion":"수치 대입과 계산","points":2},{"criterion":"최종값·단위","points":1}]</x:v>
      </x:c>
      <x:c r="K26" s="56" t="str">
        <x:v>{"steps":["움직이기 직전 필요한 최소 힘은 최대 정지마찰력과 같다."],"formulas":["f_s,max=μ_sN"],"commonMistakes":["μ_smg에서 질량이나 g를 빼먹는 것","20 N을 넘겨야 움직인다는 의미와 임계값 20 N을 혼동하는 것"]}</x:v>
      </x:c>
      <x:c r="L26" s="56" t="str">
        <x:v>{}</x:v>
      </x:c>
      <x:c r="M26" s="56" t="str">
        <x:v>{"prompt":"정지마찰계수 0.4인 수평면에 질량 5 kg 물체가 있다. g=10 m/s². 움직이기 직전 필요한 수평힘을 구하시오.","answer":"20 N","explanation":"N=50 N, f_s,max=0.4×50=20 N이다.","inputMode":"text","acceptableAnswers":["20","20N","20 N"]}</x:v>
      </x:c>
      <x:c r="N26" s="56" t="str">
        <x:v>verified</x:v>
      </x:c>
      <x:c r="O26" s="56" t="str"/>
      <x:c r="P26" s="56" t="str">
        <x:v>{"page":1,"crop":[55,180,675,340]}</x:v>
      </x:c>
    </x:row>
    <x:row r="27" ht="44" customHeight="1">
      <x:c r="A27" s="56" t="str">
        <x:v>physics1-basic-r05</x:v>
      </x:c>
      <x:c r="B27" s="56" t="n">
        <x:v>2</x:v>
      </x:c>
      <x:c r="C27" s="56" t="str">
        <x:v>subjective</x:v>
      </x:c>
      <x:c r="D27" s="56" t="str">
        <x:v>achievement</x:v>
      </x:c>
      <x:c r="E27" s="56" t="n">
        <x:v>5</x:v>
      </x:c>
      <x:c r="F27" s="56" t="str">
        <x:v>힘과 운동</x:v>
      </x:c>
      <x:c r="G27" s="56" t="str">
        <x:v>정지·운동 마찰 전환</x:v>
      </x:c>
      <x:c r="H27" s="56" t="str">
        <x:v>중</x:v>
      </x:c>
      <x:c r="I27" s="56" t="str">
        <x:v>{"display":"최대 정지마찰력은 0.2×100=20 N이므로 22 N에서는 움직인다. 운동마찰력은 0.1×100=10 N, 알짜힘은 12 N이므로 a=12/10=1.2 m/s²이다.","answerKey":null}</x:v>
      </x:c>
      <x:c r="J27" s="56" t="str">
        <x:v>[{"criterion":"핵심 식 또는 물리 관계 설정","points":2},{"criterion":"수치 대입과 계산","points":2},{"criterion":"최종값·단위","points":1}]</x:v>
      </x:c>
      <x:c r="K27" s="56" t="str">
        <x:v>{"steps":["가한 힘이 최대 정지마찰력을 넘는지 먼저 판단한다."],"formulas":["f_s,max=μ_smg","f_k=μ_kmg","a=(F-f_k)/m"],"commonMistakes":["22-20으로 알짜힘을 계산하는 것","움직인 뒤에도 정지마찰계수를 쓰는 것"]}</x:v>
      </x:c>
      <x:c r="L27" s="56" t="str">
        <x:v>{}</x:v>
      </x:c>
      <x:c r="M27" s="56" t="str">
        <x:v>{"prompt":"질량 8 kg, μ_s=0.25, μ_k=0.15인 물체를 24 N으로 당긴다. g=10. 가속도를 구하시오.","answer":"1.5 m/s²","explanation":"최대 정지마찰력 20 N보다 24 N이 크므로 움직인다. 운동마찰력 12 N, 알짜힘 12 N, a=1.5 m/s².","inputMode":"text","acceptableAnswers":["1.5","1.5m/s2","1.5 m/s²"]}</x:v>
      </x:c>
      <x:c r="N27" s="56" t="str">
        <x:v>verified</x:v>
      </x:c>
      <x:c r="O27" s="56" t="str"/>
      <x:c r="P27" s="56" t="str">
        <x:v>{"page":1,"crop":[55,485,675,320]}</x:v>
      </x:c>
    </x:row>
    <x:row r="28" ht="44" customHeight="1">
      <x:c r="A28" s="56" t="str">
        <x:v>physics1-basic-r05</x:v>
      </x:c>
      <x:c r="B28" s="56" t="n">
        <x:v>3</x:v>
      </x:c>
      <x:c r="C28" s="56" t="str">
        <x:v>subjective</x:v>
      </x:c>
      <x:c r="D28" s="56" t="str">
        <x:v>achievement</x:v>
      </x:c>
      <x:c r="E28" s="56" t="n">
        <x:v>5</x:v>
      </x:c>
      <x:c r="F28" s="56" t="str">
        <x:v>힘과 운동</x:v>
      </x:c>
      <x:c r="G28" s="56" t="str">
        <x:v>정지마찰력의 자기 조절</x:v>
      </x:c>
      <x:c r="H28" s="56" t="str">
        <x:v>하</x:v>
      </x:c>
      <x:c r="I28" s="56" t="str">
        <x:v>{"display":"18 N은 최대 정지마찰력 20 N보다 작다. 정지마찰력이 18 N으로 맞서므로 알짜힘 0, 가속도 0 m/s²이다.","answerKey":null}</x:v>
      </x:c>
      <x:c r="J28" s="56" t="str">
        <x:v>[{"criterion":"핵심 식 또는 물리 관계 설정","points":2},{"criterion":"수치 대입과 계산","points":2},{"criterion":"최종값·단위","points":1}]</x:v>
      </x:c>
      <x:c r="K28" s="56" t="str">
        <x:v>{"steps":["정지마찰력은 항상 μ_sN이 아니라 필요한 만큼, 최대값 이하에서 생긴다."],"formulas":["0≤f_s≤μ_sN"],"commonMistakes":["정지마찰력을 무조건 20 N으로 놓아 왼쪽 가속도를 만드는 것","운동마찰력 10 N을 적용하는 것"]}</x:v>
      </x:c>
      <x:c r="L28" s="56" t="str">
        <x:v>{}</x:v>
      </x:c>
      <x:c r="M28" s="56" t="str">
        <x:v>{"prompt":"최대 정지마찰력이 30 N인 물체를 24 N으로 민다. 가속도와 정지마찰력 크기를 구하시오.","answer":"가속도 0, 정지마찰력 24 N","explanation":"물체는 정지하고 정지마찰력이 가한 힘과 같은 24 N으로 평형을 만든다.","inputMode":"text","acceptableAnswers":["0,24","0m/s2,24N"]}</x:v>
      </x:c>
      <x:c r="N28" s="56" t="str">
        <x:v>verified</x:v>
      </x:c>
      <x:c r="O28" s="56" t="str"/>
      <x:c r="P28" s="56" t="str">
        <x:v>{"page":1,"crop":[55,750,675,230]}</x:v>
      </x:c>
    </x:row>
    <x:row r="29" ht="44" customHeight="1">
      <x:c r="A29" s="56" t="str">
        <x:v>physics1-basic-r05</x:v>
      </x:c>
      <x:c r="B29" s="56" t="n">
        <x:v>4</x:v>
      </x:c>
      <x:c r="C29" s="56" t="str">
        <x:v>subjective</x:v>
      </x:c>
      <x:c r="D29" s="56" t="str">
        <x:v>achievement</x:v>
      </x:c>
      <x:c r="E29" s="56" t="n">
        <x:v>5</x:v>
      </x:c>
      <x:c r="F29" s="56" t="str">
        <x:v>힘과 운동</x:v>
      </x:c>
      <x:c r="G29" s="56" t="str">
        <x:v>수직 벽의 정지마찰</x:v>
      </x:c>
      <x:c r="H29" s="56" t="str">
        <x:v>하</x:v>
      </x:c>
      <x:c r="I29" s="56" t="str">
        <x:v>{"display":"벽돌이 미끄러지지 않고 정지하므로 연직방향에서 정지마찰력이 무게 100 N을 위로 평형시킨다. 따라서 f_s=100 N이다.","answerKey":null}</x:v>
      </x:c>
      <x:c r="J29" s="56" t="str">
        <x:v>[{"criterion":"핵심 식 또는 물리 관계 설정","points":2},{"criterion":"수치 대입과 계산","points":2},{"criterion":"최종값·단위","points":1}]</x:v>
      </x:c>
      <x:c r="K29" s="56" t="str">
        <x:v>{"steps":["정지마찰력의 실제 크기는 평형에 필요한 값이다.","300 N은 수직항력을 결정하지만 마찰계수가 없으므로 최대값은 계산할 수 없다."],"formulas":["ΣF_y=0 → f_s=W"],"commonMistakes":["f_s=μN을 쓰려고 임의의 μ를 만드는 것","누르는 힘 300 N을 마찰력으로 답하는 것"]}</x:v>
      </x:c>
      <x:c r="L29" s="56" t="str">
        <x:v>{}</x:v>
      </x:c>
      <x:c r="M29" s="56" t="str">
        <x:v>{"prompt":"무게 80 N인 상자를 벽에 눌러 정지시켰다. 미끄러지지 않는다면 상자에 작용하는 정지마찰력 크기는?","answer":"80 N","explanation":"연직 평형 때문에 마찰력이 무게와 같은 80 N이다.","inputMode":"text","acceptableAnswers":["80","80N","80 N"]}</x:v>
      </x:c>
      <x:c r="N29" s="56" t="str">
        <x:v>verified</x:v>
      </x:c>
      <x:c r="O29" s="56" t="str"/>
      <x:c r="P29" s="56" t="str">
        <x:v>{"page":1,"crop":[55,955,675,390]}</x:v>
      </x:c>
    </x:row>
    <x:row r="30" ht="44" customHeight="1">
      <x:c r="A30" s="56" t="str">
        <x:v>physics1-basic-r05</x:v>
      </x:c>
      <x:c r="B30" s="56" t="n">
        <x:v>5</x:v>
      </x:c>
      <x:c r="C30" s="56" t="str">
        <x:v>subjective</x:v>
      </x:c>
      <x:c r="D30" s="56" t="str">
        <x:v>achievement</x:v>
      </x:c>
      <x:c r="E30" s="56" t="n">
        <x:v>5</x:v>
      </x:c>
      <x:c r="F30" s="56" t="str">
        <x:v>힘과 운동</x:v>
      </x:c>
      <x:c r="G30" s="56" t="str">
        <x:v>비스듬한 힘과 수직항력</x:v>
      </x:c>
      <x:c r="H30" s="56" t="str">
        <x:v>중</x:v>
      </x:c>
      <x:c r="I30" s="56" t="str">
        <x:v>{"display":"연직방향 가속도가 없으므로 N+100sin60°-100=0. 따라서 N=100-50√3 N≈13.4 N이다.","answerKey":null}</x:v>
      </x:c>
      <x:c r="J30" s="56" t="str">
        <x:v>[{"criterion":"핵심 식 또는 물리 관계 설정","points":2},{"criterion":"수치 대입과 계산","points":2},{"criterion":"최종값·단위","points":1}]</x:v>
      </x:c>
      <x:c r="K30" s="56" t="str">
        <x:v>{"steps":["위로 당기는 힘의 연직성분이 수직항력을 줄인다."],"formulas":["N=mg-Fsinθ"],"commonMistakes":["Fcos60을 연직성분으로 쓰는 것","수직항력을 무조건 mg로 두는 것"]}</x:v>
      </x:c>
      <x:c r="L30" s="56" t="str">
        <x:v>{}</x:v>
      </x:c>
      <x:c r="M30" s="56" t="str">
        <x:v>{"prompt":"질량 12 kg 물체를 수평면과 30° 위 방향으로 40 N 당긴다. g=10. 수직항력을 구하시오.","answer":"100 N","explanation":"N=120-40sin30=120-20=100 N이다.","inputMode":"text","acceptableAnswers":["100","100N","100 N"]}</x:v>
      </x:c>
      <x:c r="N30" s="56" t="str">
        <x:v>verified</x:v>
      </x:c>
      <x:c r="O30" s="56" t="str"/>
      <x:c r="P30" s="56" t="str">
        <x:v>{"page":1,"crop":[55,1340,675,540]}</x:v>
      </x:c>
    </x:row>
    <x:row r="31" ht="44" customHeight="1">
      <x:c r="A31" s="56" t="str">
        <x:v>physics1-basic-r05</x:v>
      </x:c>
      <x:c r="B31" s="56" t="n">
        <x:v>6</x:v>
      </x:c>
      <x:c r="C31" s="56" t="str">
        <x:v>subjective</x:v>
      </x:c>
      <x:c r="D31" s="56" t="str">
        <x:v>achievement</x:v>
      </x:c>
      <x:c r="E31" s="56" t="n">
        <x:v>10</x:v>
      </x:c>
      <x:c r="F31" s="56" t="str">
        <x:v>힘과 운동</x:v>
      </x:c>
      <x:c r="G31" s="56" t="str">
        <x:v>여러 물체의 접촉력</x:v>
      </x:c>
      <x:c r="H31" s="56" t="str">
        <x:v>상</x:v>
      </x:c>
      <x:c r="I31" s="56" t="str">
        <x:v>{"display":"① 전체 질량 6 kg이므로 a=30/6=5 m/s². C(2 kg)에 작용하는 접촉력은 2×5=10 N. ② 'C의 오른쪽에서 12 N'의 방향이 그림에 없어 답이 하나로 정해지지 않는다. 왼쪽으로 12 N을 가하면 전체 a=(30-12)/6=3 m/s²이고 C에 대해 F_BC-12=2×3이므로 F_BC=18 N. 오른쪽으로 12 N이면 a=7 m/s², F_BC+12=14이므로 F_BC=2 N.","answerKey":null}</x:v>
      </x:c>
      <x:c r="J31" s="56" t="str">
        <x:v>[{"criterion":"1) 공통 가속도와 접촉력 10 N","points":5},{"criterion":"2) 방향 누락 인지 또는 교사 확정 방향에 맞는 풀이","points":5}]</x:v>
      </x:c>
      <x:c r="K31" s="56" t="str">
        <x:v>{"steps":["여러 물체의 공통 가속도를 전체 계로 구한다.","접촉력은 C만 분리해 힘의 합으로 계산한다."],"formulas":["a=ΣF/(m_A+m_B+m_C)","C: ΣF=m_Ca"],"commonMistakes":["추가 12 N의 방향을 확인하지 않고 하나의 답만 쓰는 것","B와 C의 합질량 5 kg에 30 N을 나누는 것"]}</x:v>
      </x:c>
      <x:c r="L31" s="56" t="str">
        <x:v>{}</x:v>
      </x:c>
      <x:c r="M31" s="56" t="str">
        <x:v>{"prompt":"매끄러운 면에서 2 kg, 1 kg, 3 kg 블록이 차례로 붙어 있고 왼쪽 블록을 오른쪽으로 24 N 민다. 가운데 블록이 오른쪽 3 kg 블록을 미는 힘을 구하시오.","answer":"12 N","explanation":"전체 가속도는 24/6=4 m/s². 오른쪽 3 kg 블록에 필요한 힘은 3×4=12 N이다.","inputMode":"text","acceptableAnswers":["12","12N","12 N"]}</x:v>
      </x:c>
      <x:c r="N31" s="56" t="str">
        <x:v>needs-review</x:v>
      </x:c>
      <x:c r="O31" s="56" t="str">
        <x:v>2번의 추가 12 N 힘 방향 화살표가 누락되어 복수 답이 가능하다. 사이트에서는 자동 정답 공개를 보류하고 두 방향의 계산을 모두 제시한다.</x:v>
      </x:c>
      <x:c r="P31" s="56" t="str">
        <x:v>{"page":1,"crop":[760,180,670,520]}</x:v>
      </x:c>
    </x:row>
    <x:row r="32" ht="44" customHeight="1">
      <x:c r="A32" s="56" t="str">
        <x:v>physics1-basic-r05</x:v>
      </x:c>
      <x:c r="B32" s="56" t="n">
        <x:v>7</x:v>
      </x:c>
      <x:c r="C32" s="56" t="str">
        <x:v>subjective</x:v>
      </x:c>
      <x:c r="D32" s="56" t="str">
        <x:v>achievement</x:v>
      </x:c>
      <x:c r="E32" s="56" t="n">
        <x:v>5</x:v>
      </x:c>
      <x:c r="F32" s="56" t="str">
        <x:v>힘과 운동</x:v>
      </x:c>
      <x:c r="G32" s="56" t="str">
        <x:v>연결된 물체와 장력</x:v>
      </x:c>
      <x:c r="H32" s="56" t="str">
        <x:v>중</x:v>
      </x:c>
      <x:c r="I32" s="56" t="str">
        <x:v>{"display":"질량 6 kg은 수평, 4 kg은 아래로 움직인다. a=4g/(6+4)=4 m/s². 수평 물체에 T=6a이므로 T=24 N이다.","answerKey":null}</x:v>
      </x:c>
      <x:c r="J32" s="56" t="str">
        <x:v>[{"criterion":"핵심 식 또는 물리 관계 설정","points":2},{"criterion":"수치 대입과 계산","points":2},{"criterion":"최종값·단위","points":1}]</x:v>
      </x:c>
      <x:c r="K32" s="56" t="str">
        <x:v>{"steps":["줄과 도르래의 질량을 무시하고 마찰이 없으면 두 물체 가속도 크기가 같다."],"formulas":["a=m₂g/(m₁+m₂)","T=m₁a"],"commonMistakes":["매달린 물체에 T=mg라고 두는 것","전체 질량에 4g가 아니라 10g를 힘으로 쓰는 것"]}</x:v>
      </x:c>
      <x:c r="L32" s="56" t="str">
        <x:v>{}</x:v>
      </x:c>
      <x:c r="M32" s="56" t="str">
        <x:v>{"prompt":"매끄러운 책상 위 8 kg 물체와 매달린 2 kg 물체가 줄로 연결되어 있다. g=10. 장력을 구하시오.","answer":"16 N","explanation":"a=20/10=2 m/s², T=8×2=16 N이다.","inputMode":"text","acceptableAnswers":["16","16N","16 N"]}</x:v>
      </x:c>
      <x:c r="N32" s="56" t="str">
        <x:v>corrected</x:v>
      </x:c>
      <x:c r="O32" s="56" t="str">
        <x:v>질량 없는 줄·마찰 없는 도르래를 표준 조건으로 보완한다.</x:v>
      </x:c>
      <x:c r="P32" s="56" t="str">
        <x:v>{"page":1,"crop":[760,710,670,300]}</x:v>
      </x:c>
    </x:row>
    <x:row r="33" ht="44" customHeight="1">
      <x:c r="A33" s="56" t="str">
        <x:v>physics1-basic-r05</x:v>
      </x:c>
      <x:c r="B33" s="56" t="n">
        <x:v>8</x:v>
      </x:c>
      <x:c r="C33" s="56" t="str">
        <x:v>subjective</x:v>
      </x:c>
      <x:c r="D33" s="56" t="str">
        <x:v>achievement</x:v>
      </x:c>
      <x:c r="E33" s="56" t="n">
        <x:v>5</x:v>
      </x:c>
      <x:c r="F33" s="56" t="str">
        <x:v>힘과 운동</x:v>
      </x:c>
      <x:c r="G33" s="56" t="str">
        <x:v>애트우드 장치</x:v>
      </x:c>
      <x:c r="H33" s="56" t="str">
        <x:v>중</x:v>
      </x:c>
      <x:c r="I33" s="56" t="str">
        <x:v>{"display":"가속도는 a=(6-4)g/(6+4)=2 m/s². 4 kg 물체에 대해 T-40=4×2이므로 T=48 N이다.","answerKey":null}</x:v>
      </x:c>
      <x:c r="J33" s="56" t="str">
        <x:v>[{"criterion":"핵심 식 또는 물리 관계 설정","points":2},{"criterion":"수치 대입과 계산","points":2},{"criterion":"최종값·단위","points":1}]</x:v>
      </x:c>
      <x:c r="K33" s="56" t="str">
        <x:v>{"steps":["무거운 6 kg이 내려가고 4 kg이 올라간다."],"formulas":["a=(m₂-m₁)g/(m₁+m₂)","T=m₁(g+a)=m₂(g-a)"],"commonMistakes":["T를 두 물체 무게의 평균으로 바로 정하는 것","가속도 방향 부호를 반대로 두는 것"]}</x:v>
      </x:c>
      <x:c r="L33" s="56" t="str">
        <x:v>{}</x:v>
      </x:c>
      <x:c r="M33" s="56" t="str">
        <x:v>{"prompt":"3 kg과 7 kg이 이상적인 도르래에 매달렸다. g=10. 가속도와 장력을 구하시오.","answer":"a=4 m/s², T=42 N","explanation":"a=(7-3)10/10=4. 3 kg은 위로 가속하므로 T=3(10+4)=42 N.","inputMode":"text","acceptableAnswers":["4,42","4m/s2,42N"]}</x:v>
      </x:c>
      <x:c r="N33" s="56" t="str">
        <x:v>corrected</x:v>
      </x:c>
      <x:c r="O33" s="56" t="str">
        <x:v>질량 없는 줄·마찰 없는 도르래 조건을 보완한다.</x:v>
      </x:c>
      <x:c r="P33" s="56" t="str">
        <x:v>{"page":1,"crop":[760,1000,670,300]}</x:v>
      </x:c>
    </x:row>
    <x:row r="34" ht="44" customHeight="1">
      <x:c r="A34" s="56" t="str">
        <x:v>physics1-basic-r05</x:v>
      </x:c>
      <x:c r="B34" s="56" t="n">
        <x:v>9</x:v>
      </x:c>
      <x:c r="C34" s="56" t="str">
        <x:v>subjective</x:v>
      </x:c>
      <x:c r="D34" s="56" t="str">
        <x:v>achievement</x:v>
      </x:c>
      <x:c r="E34" s="56" t="n">
        <x:v>10</x:v>
      </x:c>
      <x:c r="F34" s="56" t="str">
        <x:v>힘과 운동</x:v>
      </x:c>
      <x:c r="G34" s="56" t="str">
        <x:v>엘리베이터의 겉보기 무게</x:v>
      </x:c>
      <x:c r="H34" s="56" t="str">
        <x:v>중</x:v>
      </x:c>
      <x:c r="I34" s="56" t="str">
        <x:v>{"display":"0~2 s 가속도는 +5 m/s², 8~10 s는 -5 m/s²이다. 최대 수직항력은 N_max=80(10+5)=1200 N, 최소는 N_min=80(10-5)=400 N. 차이는 800 N이다.","answerKey":null}</x:v>
      </x:c>
      <x:c r="J34" s="56" t="str">
        <x:v>[{"criterion":"방향·부호·적용 조건 설정","points":2},{"criterion":"핵심 식 전개","points":3},{"criterion":"수치 계산","points":3},{"criterion":"최종값·단위·해석","points":2}]</x:v>
      </x:c>
      <x:c r="K34" s="56" t="str">
        <x:v>{"steps":["엘리베이터가 위로 움직이는지보다 가속도 방향이 중요하다.","감속하며 상승할 때 가속도는 아래쪽이다."],"formulas":["N=m(g+a_y)"],"commonMistakes":["등속 구간에서 최대라고 보는 것","하강하지 않으므로 아래 가속도가 없다고 보는 것"]}</x:v>
      </x:c>
      <x:c r="L34" s="56" t="str">
        <x:v>{}</x:v>
      </x:c>
      <x:c r="M34" s="56" t="str">
        <x:v>{"prompt":"60 kg 사람이 탄 엘리베이터가 3 s 동안 정지에서 위로 6 m/s가 된 뒤, 나중에 2 s 동안 정지한다. g=10. 최대·최소 겉보기 무게의 차를 구하시오.","answer":"300 N","explanation":"상승 가속도 2 m/s²에서 N_max=720 N, 정지시키는 아래 가속도 3 m/s²에서 N_min=420 N, 차 300 N.","inputMode":"text","acceptableAnswers":["300","300N","300 N"]}</x:v>
      </x:c>
      <x:c r="N34" s="56" t="str">
        <x:v>verified</x:v>
      </x:c>
      <x:c r="O34" s="56" t="str"/>
      <x:c r="P34" s="56" t="str">
        <x:v>{"page":1,"crop":[760,1280,670,610]}</x:v>
      </x:c>
    </x:row>
    <x:row r="35" ht="44" customHeight="1">
      <x:c r="A35" s="56" t="str">
        <x:v>physics1-basic-r05</x:v>
      </x:c>
      <x:c r="B35" s="56" t="n">
        <x:v>10</x:v>
      </x:c>
      <x:c r="C35" s="56" t="str">
        <x:v>subjective</x:v>
      </x:c>
      <x:c r="D35" s="56" t="str">
        <x:v>achievement</x:v>
      </x:c>
      <x:c r="E35" s="56" t="n">
        <x:v>10</x:v>
      </x:c>
      <x:c r="F35" s="56" t="str">
        <x:v>운동의 기술</x:v>
      </x:c>
      <x:c r="G35" s="56" t="str">
        <x:v>s-t·v-t 그래프 비교</x:v>
      </x:c>
      <x:c r="H35" s="56" t="str">
        <x:v>상</x:v>
      </x:c>
      <x:c r="I35" s="56" t="str">
        <x:v>{"display":"s-t 그래프: t₁ 순간속도 A&gt;B&gt;C, 0~t₁ 평균속도 A=B=C. v-t 그래프: t₁ 순간속도 A=B=C, 0~t₁ 평균속도 C&gt;B&gt;A.","answerKey":null}</x:v>
      </x:c>
      <x:c r="J35" s="56" t="str">
        <x:v>[{"criterion":"s-t 순간속도 A&gt;B&gt;C","points":3},{"criterion":"v-t 순간속도 A=B=C","points":2},{"criterion":"s-t 평균속도 A=B=C","points":2},{"criterion":"v-t 평균속도 C&gt;B&gt;A","points":3}]</x:v>
      </x:c>
      <x:c r="K35" s="56" t="str">
        <x:v>{"steps":["s-t의 기울기가 속도다.","v-t의 높이가 순간속도, 넓이/시간이 평균속도다."],"formulas":["s-t: v=ds/dt","v-t: v_avg=(넓이)/t"],"commonMistakes":["두 그래프에서 같은 비교 규칙을 적용하는 것","v-t의 기울기를 순간속도로 보는 것"]}</x:v>
      </x:c>
      <x:c r="L35" s="56" t="str">
        <x:v>{}</x:v>
      </x:c>
      <x:c r="M35" s="56" t="str">
        <x:v>{"prompt":"s-t 세 곡선이 같은 끝점에서 만나고 접선 기울기가 P&gt;Q&gt;R이다. 별도의 v-t 세 곡선도 같은 끝점에서 만나며 R이 직선 위, Q가 직선, P가 직선 아래이다. 순간속도와 평균속도를 각각 비교하시오.","answer":"s-t: 순간 P&gt;Q&gt;R, 평균 P=Q=R. v-t: 순간 P=Q=R, 평균 R&gt;Q&gt;P.","explanation":"그래프 종류에 따라 세로값·기울기·넓이의 의미를 구분한다.","inputMode":"text","acceptableAnswers":["P&gt;Q&gt;R,P=Q=R;P=Q=R,R&gt;Q&gt;P"]}</x:v>
      </x:c>
      <x:c r="N35" s="56" t="str">
        <x:v>verified</x:v>
      </x:c>
      <x:c r="O35" s="56" t="str"/>
      <x:c r="P35" s="56" t="str">
        <x:v>{"page":2,"crop":[55,170,675,590]}</x:v>
      </x:c>
    </x:row>
    <x:row r="36" ht="44" customHeight="1">
      <x:c r="A36" s="56" t="str">
        <x:v>physics1-basic-r05</x:v>
      </x:c>
      <x:c r="B36" s="56" t="n">
        <x:v>11</x:v>
      </x:c>
      <x:c r="C36" s="56" t="str">
        <x:v>subjective</x:v>
      </x:c>
      <x:c r="D36" s="56" t="str">
        <x:v>achievement</x:v>
      </x:c>
      <x:c r="E36" s="56" t="n">
        <x:v>5</x:v>
      </x:c>
      <x:c r="F36" s="56" t="str">
        <x:v>벡터</x:v>
      </x:c>
      <x:c r="G36" s="56" t="str">
        <x:v>상대속도</x:v>
      </x:c>
      <x:c r="H36" s="56" t="str">
        <x:v>중</x:v>
      </x:c>
      <x:c r="I36" s="56" t="str">
        <x:v>{"display":"동쪽을 +x, 북쪽을 +y로 두면 사람은 서쪽 (-10,0), 북풍의 공기는 남쪽 (0,-10)이다. 상대속도는 (0,-10)-(-10,0)=(10,-10). 속력 10√2 m/s, 방향은 남동쪽이다(북서쪽에서 불어오는 것으로 느낀다).","answerKey":null}</x:v>
      </x:c>
      <x:c r="J36" s="56" t="str">
        <x:v>[{"criterion":"핵심 식 또는 물리 관계 설정","points":2},{"criterion":"수치 대입과 계산","points":2},{"criterion":"최종값·단위","points":1}]</x:v>
      </x:c>
      <x:c r="K36" s="56" t="str">
        <x:v>{"steps":["북풍은 북쪽에서 남쪽으로 분다."],"formulas":["v_rel=v_air-v_person"],"commonMistakes":["북풍을 북쪽 방향으로 해석하는 것","사람 속도를 빼지 않는 것"]}</x:v>
      </x:c>
      <x:c r="L36" s="56" t="str">
        <x:v>{}</x:v>
      </x:c>
      <x:c r="M36" s="56" t="str">
        <x:v>{"prompt":"동쪽으로 5 m/s로 달리는 사람에게 북풍이 12 m/s로 분다. 느끼는 바람의 속력과 흐름 방향은?","answer":"13 m/s, 남서쪽","explanation":"공기 속도 (0,-12)-사람 (5,0)=(-5,-12), 크기 13, 남서쪽.","inputMode":"text","acceptableAnswers":["13 남서","13m/s 남서쪽"]}</x:v>
      </x:c>
      <x:c r="N36" s="56" t="str">
        <x:v>verified</x:v>
      </x:c>
      <x:c r="O36" s="56" t="str"/>
      <x:c r="P36" s="56" t="str">
        <x:v>{"page":2,"crop":[55,800,675,300]}</x:v>
      </x:c>
    </x:row>
    <x:row r="37" ht="44" customHeight="1">
      <x:c r="A37" s="56" t="str">
        <x:v>physics1-basic-r05</x:v>
      </x:c>
      <x:c r="B37" s="56" t="n">
        <x:v>12</x:v>
      </x:c>
      <x:c r="C37" s="56" t="str">
        <x:v>subjective</x:v>
      </x:c>
      <x:c r="D37" s="56" t="str">
        <x:v>achievement</x:v>
      </x:c>
      <x:c r="E37" s="56" t="n">
        <x:v>10</x:v>
      </x:c>
      <x:c r="F37" s="56" t="str">
        <x:v>운동의 기술</x:v>
      </x:c>
      <x:c r="G37" s="56" t="str">
        <x:v>시간기록계 분석</x:v>
      </x:c>
      <x:c r="H37" s="56" t="str">
        <x:v>중</x:v>
      </x:c>
      <x:c r="I37" s="56" t="str">
        <x:v>{"display":"각 구간이 5타점=0.10 s라면 A→C 거리는 5+10=15 cm, 시간 0.20 s이므로 평균속력은 0.75 m/s. 구간 속력은 0.5, 1.0, 1.5 m/s이고 일정하게 0.1 s마다 0.5 m/s씩 증가하므로 평균가속도는 5.0 m/s².","answerKey":null}</x:v>
      </x:c>
      <x:c r="J37" s="56" t="str">
        <x:v>[{"criterion":"A~C 평균속력 0.75 m/s","points":5},{"criterion":"평균가속도 5.0 m/s²","points":5}]</x:v>
      </x:c>
      <x:c r="K37" s="56" t="str">
        <x:v>{"steps":["50 Hz에서 5타점 구간은 0.10 s로 사용한다.","구간 평균속력은 해당 구간 중앙 시각의 순간속력으로 근사한다."],"formulas":["v_AC=0.15/0.20","a=(1.5-0.5)/0.20"],"commonMistakes":["A→C 시간을 0.3 s로 잡는 것","cm/s 값을 m/s로 바꾸지 않는 것"]}</x:v>
      </x:c>
      <x:c r="L37" s="56" t="str">
        <x:v>{}</x:v>
      </x:c>
      <x:c r="M37" s="56" t="str">
        <x:v>{"prompt":"5타점 간격이 0.1 s인 테이프에서 연속 구간 거리가 4, 8, 12 cm이다. 첫 점부터 셋째 경계까지 평균속력과 가속도를 구하시오.","answer":"평균속력 0.60 m/s, 가속도 4.0 m/s²","explanation":"첫 두 구간 12 cm/0.2 s=0.60. 구간 속력 0.4,0.8,1.2이고 첫·셋째 중심 차 0.2 s이므로 a=4.0.","inputMode":"text","acceptableAnswers":["0.6,4","0.60m/s,4m/s2"]}</x:v>
      </x:c>
      <x:c r="N37" s="56" t="str">
        <x:v>verified</x:v>
      </x:c>
      <x:c r="O37" s="56" t="str"/>
      <x:c r="P37" s="56" t="str">
        <x:v>{"page":2,"crop":[55,1080,675,780]}</x:v>
      </x:c>
    </x:row>
    <x:row r="38" ht="44" customHeight="1">
      <x:c r="A38" s="56" t="str">
        <x:v>physics1-basic-r05</x:v>
      </x:c>
      <x:c r="B38" s="56" t="n">
        <x:v>13</x:v>
      </x:c>
      <x:c r="C38" s="56" t="str">
        <x:v>subjective</x:v>
      </x:c>
      <x:c r="D38" s="56" t="str">
        <x:v>achievement</x:v>
      </x:c>
      <x:c r="E38" s="56" t="n">
        <x:v>5</x:v>
      </x:c>
      <x:c r="F38" s="56" t="str">
        <x:v>힘과 운동</x:v>
      </x:c>
      <x:c r="G38" s="56" t="str">
        <x:v>대칭 장력과 기하</x:v>
      </x:c>
      <x:c r="H38" s="56" t="str">
        <x:v>중</x:v>
      </x:c>
      <x:c r="I38" s="56" t="str">
        <x:v>{"display":"실 전체 50 cm이므로 양쪽은 25 cm. 반쪽 밑변 20 cm와 빗변 25 cm로 높이는 15 cm이다. 각 장력의 연직성분은 T·15/25=0.6T. 2(0.6T)=0.6 N이므로 T=0.5 N이다.","answerKey":null}</x:v>
      </x:c>
      <x:c r="J38" s="56" t="str">
        <x:v>[{"criterion":"핵심 식 또는 물리 관계 설정","points":2},{"criterion":"수치 대입과 계산","points":2},{"criterion":"최종값·단위","points":1}]</x:v>
      </x:c>
      <x:c r="K38" s="56" t="str">
        <x:v>{"steps":["대칭이므로 양쪽 장력은 같다.","3-4-5 삼각형을 이용한다."],"formulas":["2Tsinθ=W","sinθ=15/25=3/5"],"commonMistakes":["실 한쪽 길이를 50 cm로 쓰는 것","각 장력이 무게의 절반 0.3 N이라고만 하는 것(연직성분이어야 함)"]}</x:v>
      </x:c>
      <x:c r="L38" s="56" t="str">
        <x:v>{}</x:v>
      </x:c>
      <x:c r="M38" s="56" t="str">
        <x:v>{"prompt":"무게 1.2 N, 길이 60 cm 막대를 전체 길이 100 cm인 실로 양끝에서 대칭 지지한다. 각 실 부분은 50 cm이고 반쪽 밑변은 30 cm이다. 장력을 구하시오.","answer":"0.75 N","explanation":"높이는 40 cm, sinθ=40/50=0.8. 2T·0.8=1.2이므로 T=0.75 N.","inputMode":"text","acceptableAnswers":["0.75","0.75N","0.75 N"]}</x:v>
      </x:c>
      <x:c r="N38" s="56" t="str">
        <x:v>verified</x:v>
      </x:c>
      <x:c r="O38" s="56" t="str"/>
      <x:c r="P38" s="56" t="str">
        <x:v>{"page":2,"crop":[760,170,670,390]}</x:v>
      </x:c>
    </x:row>
    <x:row r="39" ht="44" customHeight="1">
      <x:c r="A39" s="56" t="str">
        <x:v>physics1-basic-r05</x:v>
      </x:c>
      <x:c r="B39" s="56" t="n">
        <x:v>14</x:v>
      </x:c>
      <x:c r="C39" s="56" t="str">
        <x:v>subjective</x:v>
      </x:c>
      <x:c r="D39" s="56" t="str">
        <x:v>achievement</x:v>
      </x:c>
      <x:c r="E39" s="56" t="n">
        <x:v>10</x:v>
      </x:c>
      <x:c r="F39" s="56" t="str">
        <x:v>운동의 기술</x:v>
      </x:c>
      <x:c r="G39" s="56" t="str">
        <x:v>등가속도 이동거리</x:v>
      </x:c>
      <x:c r="H39" s="56" t="str">
        <x:v>중</x:v>
      </x:c>
      <x:c r="I39" s="56" t="str">
        <x:v>{"display":"정지 출발 등가속도에서 v=at. v(2)=4이므로 a=2 m/s². 0~2 s 이동거리는 평균속도 2×2=4 m, 2~4 s는 평균속도 (4+8)/2=6×2=12 m이므로 3배이다.","answerKey":null}</x:v>
      </x:c>
      <x:c r="J39" s="56" t="str">
        <x:v>[{"criterion":"거리비 3배","points":5},{"criterion":"가속도 2 m/s²","points":5}]</x:v>
      </x:c>
      <x:c r="K39" s="56" t="str">
        <x:v>{"steps":["등가속도에서 같은 길이의 시간 구간 이동거리는 평균속도로 구할 수 있다."],"formulas":["a=Δv/Δt","s=½at²"],"commonMistakes":["전체 0~4 s 거리 16 m를 0~2 s와 비교하는 것","2~4 s 거리도 8 m라고 하는 것"]}</x:v>
      </x:c>
      <x:c r="L39" s="56" t="str">
        <x:v>{}</x:v>
      </x:c>
      <x:c r="M39" s="56" t="str">
        <x:v>{"prompt":"정지 출발 자동차가 3 s에 6 m/s, 6 s에 12 m/s이다. 3~6 s 이동거리는 0~3 s의 몇 배이며 가속도는?","answer":"3배, 2 m/s²","explanation":"0~3 s 거리는 9 m, 3~6 s는 평균속도 9×3=27 m이므로 3배. a=6/3=2.","inputMode":"text","acceptableAnswers":["3,2","3배,2m/s2"]}</x:v>
      </x:c>
      <x:c r="N39" s="56" t="str">
        <x:v>verified</x:v>
      </x:c>
      <x:c r="O39" s="56" t="str"/>
      <x:c r="P39" s="56" t="str">
        <x:v>{"page":2,"crop":[760,560,670,650]}</x:v>
      </x:c>
    </x:row>
    <x:row r="40" ht="44" customHeight="1">
      <x:c r="A40" s="56" t="str">
        <x:v>physics1-basic-r05</x:v>
      </x:c>
      <x:c r="B40" s="56" t="n">
        <x:v>15</x:v>
      </x:c>
      <x:c r="C40" s="56" t="str">
        <x:v>objective</x:v>
      </x:c>
      <x:c r="D40" s="56" t="str">
        <x:v>achievement</x:v>
      </x:c>
      <x:c r="E40" s="56" t="n">
        <x:v>5</x:v>
      </x:c>
      <x:c r="F40" s="56" t="str">
        <x:v>힘과 운동</x:v>
      </x:c>
      <x:c r="G40" s="56" t="str">
        <x:v>힘의 평형과 작용·반작용</x:v>
      </x:c>
      <x:c r="H40" s="56" t="str">
        <x:v>중</x:v>
      </x:c>
      <x:c r="I40" s="56" t="str">
        <x:v>{"display":"힘의 평형에 해당하는 것은 ㄱ, ㄷ이다. ㄴ과 ㄹ은 서로 다른 물체에 작용하는 작용·반작용 쌍이다.","answerKey":null}</x:v>
      </x:c>
      <x:c r="J40" s="56" t="str">
        <x:v>[{"criterion":"핵심 식 또는 물리 관계 설정","points":2},{"criterion":"수치 대입과 계산","points":2},{"criterion":"최종값·단위","points":1}]</x:v>
      </x:c>
      <x:c r="K40" s="56" t="str">
        <x:v>{"steps":["같은 물체에 작용하고 합력이 0인지 확인한다."],"formulas":["평형: 같은 물체, ΣF=0","작용·반작용: 서로 다른 물체"],"commonMistakes":["크기가 같고 방향이 반대면 모두 평형이라고 판단하는 것"]}</x:v>
      </x:c>
      <x:c r="L40" s="56" t="str">
        <x:v>{}</x:v>
      </x:c>
      <x:c r="M40" s="56" t="str">
        <x:v>{"prompt":"다음 중 힘의 평형을 모두 고르시오. ㄱ 정지한 책에 작용하는 중력과 책상 수직항력. ㄴ 사람이 벽을 미는 힘과 벽이 사람을 미는 힘. ㄷ 등속 낙하하는 물체의 중력과 공기저항.","answer":"ㄱ, ㄷ","explanation":"ㄱ과 ㄷ은 각각 같은 물체에 작용해 합력이 0이다. ㄴ은 작용·반작용이다.","inputMode":"choice","acceptableAnswers":["ㄱ,ㄷ","4"],"choices":["ㄱ","ㄴ","ㄷ","ㄱ,ㄷ","ㄴ,ㄷ"]}</x:v>
      </x:c>
      <x:c r="N40" s="56" t="str">
        <x:v>verified</x:v>
      </x:c>
      <x:c r="O40" s="56" t="str"/>
      <x:c r="P40" s="56" t="str">
        <x:v>{"page":2,"crop":[760,1230,670,520]}</x:v>
      </x:c>
    </x:row>
    <x:row r="41" ht="44" customHeight="1">
      <x:c r="A41" s="56" t="str">
        <x:v>physics1-basic-r06</x:v>
      </x:c>
      <x:c r="B41" s="56" t="n">
        <x:v>1</x:v>
      </x:c>
      <x:c r="C41" s="56" t="str">
        <x:v>subjective</x:v>
      </x:c>
      <x:c r="D41" s="56" t="str">
        <x:v>achievement</x:v>
      </x:c>
      <x:c r="E41" s="56" t="n">
        <x:v>10</x:v>
      </x:c>
      <x:c r="F41" s="56" t="str">
        <x:v>운동량과 충격량</x:v>
      </x:c>
      <x:c r="G41" s="56" t="str">
        <x:v>운동량 보존</x:v>
      </x:c>
      <x:c r="H41" s="56" t="str">
        <x:v>하</x:v>
      </x:c>
      <x:c r="I41" s="56" t="str">
        <x:v>{"display":"오른쪽을 +로 두면 충돌 전 운동량은 2·5+3·2=16 kg·m/s. 충돌 후는 2·2+3v. 운동량 보존으로 16=4+3v이므로 v=4 m/s(오른쪽)이다.","answerKey":null}</x:v>
      </x:c>
      <x:c r="J41" s="56" t="str">
        <x:v>[{"criterion":"방향·부호·적용 조건 설정","points":2},{"criterion":"핵심 식 전개","points":3},{"criterion":"수치 계산","points":3},{"criterion":"최종값·단위·해석","points":2}]</x:v>
      </x:c>
      <x:c r="K41" s="56" t="str">
        <x:v>{"steps":["외력이 무시되는 짧은 충돌 동안 전체 운동량이 보존된다."],"formulas":["m_Au_A+m_Bu_B=m_Av_A+m_Bv_B"],"commonMistakes":["질량을 빼먹고 속도만 보존하는 것","충돌 후 A 속도 2 m/s를 충돌 전 값으로 잘못 읽는 것"]}</x:v>
      </x:c>
      <x:c r="L41" s="56" t="str">
        <x:v>{}</x:v>
      </x:c>
      <x:c r="M41" s="56" t="str">
        <x:v>{"prompt":"2 kg 물체가 6 m/s, 4 kg 물체가 1 m/s로 같은 방향 운동한다. 충돌 후 2 kg 물체가 2 m/s이면 4 kg 물체 속도는?","answer":"3 m/s","explanation":"초기 운동량 16, 최종 4+4v. v=3 m/s.","inputMode":"text","acceptableAnswers":["3","3m/s","3 m/s"]}</x:v>
      </x:c>
      <x:c r="N41" s="56" t="str">
        <x:v>verified</x:v>
      </x:c>
      <x:c r="O41" s="56" t="str"/>
      <x:c r="P41" s="56" t="str">
        <x:v>{"page":1,"crop":[55,180,675,430]}</x:v>
      </x:c>
    </x:row>
    <x:row r="42" ht="44" customHeight="1">
      <x:c r="A42" s="56" t="str">
        <x:v>physics1-basic-r06</x:v>
      </x:c>
      <x:c r="B42" s="56" t="n">
        <x:v>2</x:v>
      </x:c>
      <x:c r="C42" s="56" t="str">
        <x:v>subjective</x:v>
      </x:c>
      <x:c r="D42" s="56" t="str">
        <x:v>achievement</x:v>
      </x:c>
      <x:c r="E42" s="56" t="n">
        <x:v>10</x:v>
      </x:c>
      <x:c r="F42" s="56" t="str">
        <x:v>운동량과 충격량</x:v>
      </x:c>
      <x:c r="G42" s="56" t="str">
        <x:v>반대 방향 충돌</x:v>
      </x:c>
      <x:c r="H42" s="56" t="str">
        <x:v>중</x:v>
      </x:c>
      <x:c r="I42" s="56" t="str">
        <x:v>{"display":"오른쪽을 +로 두면 초기 운동량은 2·10+4·(-6)=-4. 충돌 후 A가 왼쪽 4 m/s이므로 -8+4v=-4, 따라서 v=1 m/s(오른쪽)이다.","answerKey":null}</x:v>
      </x:c>
      <x:c r="J42" s="56" t="str">
        <x:v>[{"criterion":"방향·부호·적용 조건 설정","points":2},{"criterion":"핵심 식 전개","points":3},{"criterion":"수치 계산","points":3},{"criterion":"최종값·단위·해석","points":2}]</x:v>
      </x:c>
      <x:c r="K42" s="56" t="str">
        <x:v>{"steps":["방향이 반대인 속도는 부호가 반대다."],"formulas":["Σp_before=Σp_after"],"commonMistakes":["6 m/s를 양수로 두는 것","충돌 후 A의 왼쪽 속도에 음수 부호를 빼먹는 것"]}</x:v>
      </x:c>
      <x:c r="L42" s="56" t="str">
        <x:v>{}</x:v>
      </x:c>
      <x:c r="M42" s="56" t="str">
        <x:v>{"prompt":"3 kg A가 오른쪽 8 m/s, 5 kg B가 왼쪽 2 m/s로 충돌한다. 이후 A가 왼쪽 2 m/s이면 B의 속도는?","answer":"4 m/s 오른쪽","explanation":"초기 p=24-10=14, 최종=-6+5v. v=4 m/s.","inputMode":"text","acceptableAnswers":["4","4m/s 오른쪽","오른쪽 4"]}</x:v>
      </x:c>
      <x:c r="N42" s="56" t="str">
        <x:v>verified</x:v>
      </x:c>
      <x:c r="O42" s="56" t="str"/>
      <x:c r="P42" s="56" t="str">
        <x:v>{"page":1,"crop":[55,590,675,390]}</x:v>
      </x:c>
    </x:row>
    <x:row r="43" ht="44" customHeight="1">
      <x:c r="A43" s="56" t="str">
        <x:v>physics1-basic-r06</x:v>
      </x:c>
      <x:c r="B43" s="56" t="n">
        <x:v>3</x:v>
      </x:c>
      <x:c r="C43" s="56" t="str">
        <x:v>subjective</x:v>
      </x:c>
      <x:c r="D43" s="56" t="str">
        <x:v>achievement</x:v>
      </x:c>
      <x:c r="E43" s="56" t="n">
        <x:v>20</x:v>
      </x:c>
      <x:c r="F43" s="56" t="str">
        <x:v>운동량과 충격량</x:v>
      </x:c>
      <x:c r="G43" s="56" t="str">
        <x:v>충격량·평균힘·탄성충돌</x:v>
      </x:c>
      <x:c r="H43" s="56" t="str">
        <x:v>중</x:v>
      </x:c>
      <x:c r="I43" s="56" t="str">
        <x:v>{"display":"오른쪽을 +로 잡으면 Δp=2(-3)-2(3)=-12 kg·m/s=-12 N·s, 즉 공이 받은 충격량은 왼쪽 12 N·s. 평균힘 크기는 |I|/Δt=12/0.2=60 N. 충돌 전후 공의 속력과 운동에너지가 같아 이상적인 벽과의 완전 탄성 충돌로 본다.","answerKey":null}</x:v>
      </x:c>
      <x:c r="J43" s="56" t="str">
        <x:v>[{"criterion":"충격량 -12 N·s","points":5},{"criterion":"평균힘 60 N","points":5},{"criterion":"완전 탄성 충돌 선택","points":4},{"criterion":"운동에너지 보존 근거","points":6}]</x:v>
      </x:c>
      <x:c r="K43" s="56" t="str">
        <x:v>{"steps":["충격량은 운동량의 변화량이며 벡터다.","공이 벽에 가한 힘은 벽이 공에 가한 힘과 크기가 같다."],"formulas":["I=Δp=m(v_f-v_i)","F_avg=I/Δt","K=½mv²"],"commonMistakes":["3-3=0으로 계산하는 것","공이 받은 충격량과 공이 벽에 준 충격량의 방향을 같게 쓰는 것","튕겨 나왔다는 이유만으로 무조건 완전 탄성이라 하는 것"]}</x:v>
      </x:c>
      <x:c r="L43" s="56" t="str">
        <x:v>{}</x:v>
      </x:c>
      <x:c r="M43" s="56" t="str">
        <x:v>{"prompt":"0.5 kg 공이 오른쪽 12 m/s로 벽에 부딪혀 0.1 s 뒤 왼쪽 8 m/s로 튕겼다. 공이 받은 충격량과 평균힘 크기, 운동에너지 손실을 구하시오.","answer":"충격량 -10 N·s(왼쪽), 평균힘 100 N, 에너지 손실 20 J","explanation":"Δp=0.5(-8-12)=-10. 평균힘 10/0.1=100. K_i=36 J, K_f=16 J라 손실 20 J.","inputMode":"text","acceptableAnswers":["-10,100,20","왼쪽10Ns,100N,20J"]}</x:v>
      </x:c>
      <x:c r="N43" s="56" t="str">
        <x:v>verified</x:v>
      </x:c>
      <x:c r="O43" s="56" t="str"/>
      <x:c r="P43" s="56" t="str">
        <x:v>{"page":1,"crop":[55,950,675,940]}</x:v>
      </x:c>
    </x:row>
    <x:row r="44" ht="44" customHeight="1">
      <x:c r="A44" s="56" t="str">
        <x:v>physics1-basic-r06</x:v>
      </x:c>
      <x:c r="B44" s="56" t="n">
        <x:v>4</x:v>
      </x:c>
      <x:c r="C44" s="56" t="str">
        <x:v>objective</x:v>
      </x:c>
      <x:c r="D44" s="56" t="str">
        <x:v>achievement</x:v>
      </x:c>
      <x:c r="E44" s="56" t="n">
        <x:v>10</x:v>
      </x:c>
      <x:c r="F44" s="56" t="str">
        <x:v>운동량과 충격량</x:v>
      </x:c>
      <x:c r="G44" s="56" t="str">
        <x:v>뉴턴의 요람</x:v>
      </x:c>
      <x:c r="H44" s="56" t="str">
        <x:v>하</x:v>
      </x:c>
      <x:c r="I44" s="56" t="str">
        <x:v>{"display":"이상적인 동일 질량·탄성 충돌에서는 들어 올린 구의 개수와 같은 4개가 반대편에서 튀어나온다.","answerKey":null}</x:v>
      </x:c>
      <x:c r="J44" s="56" t="str">
        <x:v>[{"criterion":"방향·부호·적용 조건 설정","points":2},{"criterion":"핵심 식 전개","points":3},{"criterion":"수치 계산","points":3},{"criterion":"최종값·단위·해석","points":2}]</x:v>
      </x:c>
      <x:c r="K44" s="56" t="str">
        <x:v>{"steps":["운동량과 운동에너지를 동시에 보존해야 한다."],"formulas":["동일 질량 이상적 탄성충돌: 입력 구 수=출력 구 수"],"commonMistakes":["1개만 매우 빠르게 나간다고 보는 것","7개 전부 움직인다고 보는 것"]}</x:v>
      </x:c>
      <x:c r="L44" s="56" t="str">
        <x:v>{}</x:v>
      </x:c>
      <x:c r="M44" s="56" t="str">
        <x:v>{"prompt":"동일한 금속구 9개인 뉴턴의 요람에서 3개를 들어 놓았다가 놓으면 반대편에서 주로 몇 개가 튀어나오는가?","answer":"3개","explanation":"이상적인 경우 운동량과 에너지 보존을 동시에 만족하는 동일 개수 3개가 나온다.","inputMode":"choice","acceptableAnswers":["3개","3"],"choices":["1개","2개","3개","6개"]}</x:v>
      </x:c>
      <x:c r="N44" s="56" t="str">
        <x:v>verified</x:v>
      </x:c>
      <x:c r="O44" s="56" t="str"/>
      <x:c r="P44" s="56" t="str">
        <x:v>{"page":1,"crop":[760,180,670,440]}</x:v>
      </x:c>
    </x:row>
    <x:row r="45" ht="44" customHeight="1">
      <x:c r="A45" s="56" t="str">
        <x:v>physics1-basic-r06</x:v>
      </x:c>
      <x:c r="B45" s="56" t="n">
        <x:v>5</x:v>
      </x:c>
      <x:c r="C45" s="56" t="str">
        <x:v>subjective</x:v>
      </x:c>
      <x:c r="D45" s="56" t="str">
        <x:v>achievement</x:v>
      </x:c>
      <x:c r="E45" s="56" t="n">
        <x:v>20</x:v>
      </x:c>
      <x:c r="F45" s="56" t="str">
        <x:v>운동량과 충격량</x:v>
      </x:c>
      <x:c r="G45" s="56" t="str">
        <x:v>힘-시간 그래프와 충격량</x:v>
      </x:c>
      <x:c r="H45" s="56" t="str">
        <x:v>중</x:v>
      </x:c>
      <x:c r="I45" s="56" t="str">
        <x:v>{"display":"삼각형 넓이로 충격량 I=½·4·8=16 N·s. 질량 2 kg이므로 Δv=I/m=8 m/s. 처음속도 2 m/s가 힘 방향이라면 최종속도는 10 m/s이다.","answerKey":null}</x:v>
      </x:c>
      <x:c r="J45" s="56" t="str">
        <x:v>[{"criterion":"충격량 16 N·s","points":10},{"criterion":"최종속도 10 m/s","points":10}]</x:v>
      </x:c>
      <x:c r="K45" s="56" t="str">
        <x:v>{"steps":["F-t 그래프 아래 넓이가 충격량이다."],"formulas":["I=∫Fdt","I=m(v_f-v_i)"],"commonMistakes":["최대힘 8 N을 4초 내내 곱해 32 N·s로 하는 것","처음속도 조건을 무시하는 것"]}</x:v>
      </x:c>
      <x:c r="L45" s="56" t="str">
        <x:v>{}</x:v>
      </x:c>
      <x:c r="M45" s="56" t="str">
        <x:v>{"prompt":"3 kg 물체에 0~6 s 동안 밑변 6 s, 높이 12 N인 삼각형 모양 힘이 작용한다. 처음속도 1 m/s가 힘 방향일 때 최종속도는?","answer":"13 m/s","explanation":"충격량 36 N·s, Δv=12 m/s, 최종 13 m/s.","inputMode":"text","acceptableAnswers":["13","13m/s","13 m/s"]}</x:v>
      </x:c>
      <x:c r="N45" s="56" t="str">
        <x:v>verified</x:v>
      </x:c>
      <x:c r="O45" s="56" t="str"/>
      <x:c r="P45" s="56" t="str">
        <x:v>{"page":1,"crop":[760,590,670,450]}</x:v>
      </x:c>
    </x:row>
    <x:row r="46" ht="44" customHeight="1">
      <x:c r="A46" s="56" t="str">
        <x:v>physics1-basic-r06</x:v>
      </x:c>
      <x:c r="B46" s="56" t="n">
        <x:v>6</x:v>
      </x:c>
      <x:c r="C46" s="56" t="str">
        <x:v>subjective</x:v>
      </x:c>
      <x:c r="D46" s="56" t="str">
        <x:v>achievement</x:v>
      </x:c>
      <x:c r="E46" s="56" t="n">
        <x:v>30</x:v>
      </x:c>
      <x:c r="F46" s="56" t="str">
        <x:v>운동량과 충격량</x:v>
      </x:c>
      <x:c r="G46" s="56" t="str">
        <x:v>충돌 시간과 충격력</x:v>
      </x:c>
      <x:c r="H46" s="56" t="str">
        <x:v>중</x:v>
      </x:c>
      <x:c r="I46" s="56" t="str">
        <x:v>{"display":"낙하 속력은 √(2gh)=10 m/s이고 계란 운동량 크기는 0.1·10=1 kg·m/s이다. A는 짧고 큰 힘이므로 콘크리트, B는 길고 작은 힘이므로 쿠션이다. 두 경우 모두 정지한다면 충격량 크기는 약 1 N·s로 같다. 평균힘은 A:1/0.01=100 N, B:1/0.02=50 N이다(충돌 중 중력 충격량은 무시).","answerKey":null}</x:v>
      </x:c>
      <x:c r="J46" s="56" t="str">
        <x:v>[{"criterion":"A=콘크리트, B=쿠션","points":10},{"criterion":"두 충격량 각각 1 N·s","points":10},{"criterion":"평균힘 A 100 N, B 50 N","points":10}]</x:v>
      </x:c>
      <x:c r="K46" s="56" t="str">
        <x:v>{"steps":["충격량이 같아도 충돌 시간을 늘리면 평균힘이 작아진다.","힘-시간 그래프의 넓이는 운동량 변화량이다."],"formulas":["v=√(2gh)","I=Δp","F_avg=I/Δt"],"commonMistakes":["A와 B의 그래프 높이만 보고 충격량도 다르다고 하는 것","쿠션에서 충돌 시간이 길어져 힘이 커진다고 하는 것","중력가속도 조건이 없는 것을 놓치는 것"]}</x:v>
      </x:c>
      <x:c r="L46" s="56" t="str">
        <x:v>{}</x:v>
      </x:c>
      <x:c r="M46" s="56" t="str">
        <x:v>{"prompt":"0.2 kg 공이 5 m/s로 바닥에 닿아 정지한다. 딱딱한 바닥에서는 0.02 s, 매트에서는 0.10 s 걸렸다. 평균 충격력 크기를 각각 구하시오.","answer":"딱딱한 바닥 50 N, 매트 10 N","explanation":"충격량 크기 0.2·5=1 N·s. 시간으로 나누면 50 N과 10 N.","inputMode":"text","acceptableAnswers":["50,10","50N,10N"]}</x:v>
      </x:c>
      <x:c r="N46" s="56" t="str">
        <x:v>corrected</x:v>
      </x:c>
      <x:c r="O46" s="56" t="str">
        <x:v>원문 3번은 '콘크리트 바닥으로부터 받은 평균 충격력의 크기를 각각'이라고 되어 있어 표현이 모순된다. A와 B 각각의 평균 충격력을 묻는 것으로 교정한다. g=10 m/s²와 충돌 중 중력 충격량 무시도 보완한다.</x:v>
      </x:c>
      <x:c r="P46" s="56" t="str">
        <x:v>{"page":1,"crop":[760,1010,670,900]}</x:v>
      </x:c>
    </x:row>
    <x:row r="47" ht="44" customHeight="1">
      <x:c r="A47" s="56" t="str">
        <x:v>physics1-basic-r07</x:v>
      </x:c>
      <x:c r="B47" s="56" t="n">
        <x:v>1</x:v>
      </x:c>
      <x:c r="C47" s="56" t="str">
        <x:v>subjective</x:v>
      </x:c>
      <x:c r="D47" s="56" t="str">
        <x:v>achievement</x:v>
      </x:c>
      <x:c r="E47" s="56" t="n">
        <x:v>15</x:v>
      </x:c>
      <x:c r="F47" s="56" t="str">
        <x:v>운동량과 에너지</x:v>
      </x:c>
      <x:c r="G47" s="56" t="str">
        <x:v>충돌과 반발계수</x:v>
      </x:c>
      <x:c r="H47" s="56" t="str">
        <x:v>상</x:v>
      </x:c>
      <x:c r="I47" s="56" t="str">
        <x:v>{"display":"운동량 보존: 2·5+4·2=2·1+4v_B → 18=2+4v_B, v_B=4 m/s? 잠깐, 원문 그림의 초기 운동량은 2·5+4·2=18이고 충돌 후 A는 1 m/s이므로 v_B=4 m/s이다. 반발계수 e=(v_B-v_A)/(u_A-u_B)=(4-1)/(5-2)=1. 따라서 이 수치대로라면 완전 탄성이고 운동에너지 손실은 0 J이다.","answerKey":null}</x:v>
      </x:c>
      <x:c r="J47" s="56" t="str">
        <x:v>[{"criterion":"B 속도 4 m/s","points":5},{"criterion":"반발계수 e=1","points":5},{"criterion":"운동에너지 보존·손실 0 J","points":5}]</x:v>
      </x:c>
      <x:c r="K47" s="56" t="str">
        <x:v>{"steps":["원문 그림의 속도를 정확히 읽으면 B의 충돌 후 속도는 4 m/s이다.","K_before=½·2·5²+½·4·2²=33 J, K_after=½·2·1²+½·4·4²=33 J로 같다."],"formulas":["Σp_before=Σp_after","e=(분리 상대속도)/(접근 상대속도)","K=½mv²"],"commonMistakes":["B의 질량을 3 kg으로 읽어 이전 회차 문제와 혼동하는 것","반발계수 분자·분모의 속도 순서를 뒤집는 것"]}</x:v>
      </x:c>
      <x:c r="L47" s="56" t="str">
        <x:v>{}</x:v>
      </x:c>
      <x:c r="M47" s="56" t="str">
        <x:v>{"prompt":"2 kg A가 6 m/s, 3 kg B가 2 m/s로 같은 방향 운동한다. 충돌 후 A가 2 m/s가 되었다. B의 속도, 반발계수, 운동에너지 손실을 구하시오.","answer":"B=14/3 m/s, e=2/3, 에너지 16/3 J 손실","explanation":"운동량: 2·6+3·2=2·2+3v_B → v_B=14/3. e=(14/3-2)/(6-2)=2/3. K_i=42 J, K_f=4+98/3=110/3 J이므로 16/3 J 손실이다.","inputMode":"text","acceptableAnswers":["14/3,2/3,16/3","4.667,0.667,5.333"]}</x:v>
      </x:c>
      <x:c r="N47" s="56" t="str">
        <x:v>verified</x:v>
      </x:c>
      <x:c r="O47" s="56" t="str"/>
      <x:c r="P47" s="56" t="str">
        <x:v>{"page":1,"crop":[55,180,675,520]}</x:v>
      </x:c>
    </x:row>
    <x:row r="48" ht="44" customHeight="1">
      <x:c r="A48" s="56" t="str">
        <x:v>physics1-basic-r07</x:v>
      </x:c>
      <x:c r="B48" s="56" t="n">
        <x:v>2</x:v>
      </x:c>
      <x:c r="C48" s="56" t="str">
        <x:v>subjective</x:v>
      </x:c>
      <x:c r="D48" s="56" t="str">
        <x:v>achievement</x:v>
      </x:c>
      <x:c r="E48" s="56" t="n">
        <x:v>10</x:v>
      </x:c>
      <x:c r="F48" s="56" t="str">
        <x:v>일과 에너지</x:v>
      </x:c>
      <x:c r="G48" s="56" t="str">
        <x:v>힘-거리 그래프와 속력비</x:v>
      </x:c>
      <x:c r="H48" s="56" t="str">
        <x:v>중</x:v>
      </x:c>
      <x:c r="I48" s="56" t="str">
        <x:v>{"display":"정지 출발·마찰 없음으로 보완하면 0~5 m 일은 삼각형 넓이 100 J, 0~10 m 일은 100+직사각형 100=200 J이다. K∝v²이므로 v_5:v_10=√100:√200=1:√2이다.","answerKey":null}</x:v>
      </x:c>
      <x:c r="J48" s="56" t="str">
        <x:v>[{"criterion":"방향·부호·적용 조건 설정","points":2},{"criterion":"핵심 식 전개","points":3},{"criterion":"수치 계산","points":3},{"criterion":"최종값·단위·해석","points":2}]</x:v>
      </x:c>
      <x:c r="K48" s="56" t="str">
        <x:v>{"steps":["F-s 그래프 아래 넓이는 일이다.","일-에너지 정리로 알짜일이 운동에너지 변화량이다."],"formulas":["W=∫Fds","W=ΔK","v∝√K (같은 질량)"],"commonMistakes":["힘의 값 40:20을 속력비로 쓰는 것","0~10 m 넓이에서 첫 구간을 빼는 것"]}</x:v>
      </x:c>
      <x:c r="L48" s="56" t="str">
        <x:v>{}</x:v>
      </x:c>
      <x:c r="M48" s="56" t="str">
        <x:v>{"prompt":"정지한 물체에 0~4 m에서 힘이 0→30 N으로 선형 증가하고, 4~8 m에서 30 N으로 일정하다. 4 m와 8 m 속력의 비는?","answer":"1:√3","explanation":"W_4=60 J, W_8=60+120=180 J. 속력비는 √60:√180=1:√3.","inputMode":"text","acceptableAnswers":["1:sqrt3","1:√3"]}</x:v>
      </x:c>
      <x:c r="N48" s="56" t="str">
        <x:v>corrected</x:v>
      </x:c>
      <x:c r="O48" s="56" t="str">
        <x:v>원문에는 초기 속도와 마찰 조건이 없다. 속력비가 하나로 정해지도록 s=0에서 정지, 마찰 없음으로 보완한다.</x:v>
      </x:c>
      <x:c r="P48" s="56" t="str">
        <x:v>{"page":1,"crop":[55,690,675,360]}</x:v>
      </x:c>
    </x:row>
    <x:row r="49" ht="44" customHeight="1">
      <x:c r="A49" s="56" t="str">
        <x:v>physics1-basic-r07</x:v>
      </x:c>
      <x:c r="B49" s="56" t="n">
        <x:v>3</x:v>
      </x:c>
      <x:c r="C49" s="56" t="str">
        <x:v>subjective</x:v>
      </x:c>
      <x:c r="D49" s="56" t="str">
        <x:v>achievement</x:v>
      </x:c>
      <x:c r="E49" s="56" t="n">
        <x:v>10</x:v>
      </x:c>
      <x:c r="F49" s="56" t="str">
        <x:v>일과 에너지</x:v>
      </x:c>
      <x:c r="G49" s="56" t="str">
        <x:v>마찰이 한 일</x:v>
      </x:c>
      <x:c r="H49" s="56" t="str">
        <x:v>중</x:v>
      </x:c>
      <x:c r="I49" s="56" t="str">
        <x:v>{"display":"운동에너지 변화는 ½·2(14²-10²)=96 J. 가한 힘의 일은 5·20=100 J. W_net=100-f·20=96이므로 f=0.2 N이다.","answerKey":null}</x:v>
      </x:c>
      <x:c r="J49" s="56" t="str">
        <x:v>[{"criterion":"방향·부호·적용 조건 설정","points":2},{"criterion":"핵심 식 전개","points":3},{"criterion":"수치 계산","points":3},{"criterion":"최종값·단위·해석","points":2}]</x:v>
      </x:c>
      <x:c r="K49" s="56" t="str">
        <x:v>{"steps":["알짜일은 운동에너지 변화량이다."],"formulas":["W_net=ΔK","(F-f)d=½m(v²-v₀²)"],"commonMistakes":["가한 힘 5 N을 곧 알짜힘으로 보는 것","속도 차 4 m/s를 그대로 에너지 변화에 쓰는 것"]}</x:v>
      </x:c>
      <x:c r="L49" s="56" t="str">
        <x:v>{}</x:v>
      </x:c>
      <x:c r="M49" s="56" t="str">
        <x:v>{"prompt":"3 kg 물체가 4 m/s에서 출발해 6 N 힘을 운동 방향으로 받으며 10 m 이동하여 6 m/s가 되었다. 마찰력 크기는?","answer":"3 N","explanation":"ΔK=½·3(36-16)=30 J, 가한 힘의 일 60 J이므로 마찰이 한 일 -30 J, f=3 N.","inputMode":"text","acceptableAnswers":["3","3N","3 N"]}</x:v>
      </x:c>
      <x:c r="N49" s="56" t="str">
        <x:v>verified</x:v>
      </x:c>
      <x:c r="O49" s="56" t="str"/>
      <x:c r="P49" s="56" t="str">
        <x:v>{"page":1,"crop":[55,1030,675,300]}</x:v>
      </x:c>
    </x:row>
    <x:row r="50" ht="44" customHeight="1">
      <x:c r="A50" s="56" t="str">
        <x:v>physics1-basic-r07</x:v>
      </x:c>
      <x:c r="B50" s="56" t="n">
        <x:v>4</x:v>
      </x:c>
      <x:c r="C50" s="56" t="str">
        <x:v>subjective</x:v>
      </x:c>
      <x:c r="D50" s="56" t="str">
        <x:v>achievement</x:v>
      </x:c>
      <x:c r="E50" s="56" t="n">
        <x:v>10</x:v>
      </x:c>
      <x:c r="F50" s="56" t="str">
        <x:v>일과 에너지</x:v>
      </x:c>
      <x:c r="G50" s="56" t="str">
        <x:v>역학적 에너지 보존</x:v>
      </x:c>
      <x:c r="H50" s="56" t="str">
        <x:v>중</x:v>
      </x:c>
      <x:c r="I50" s="56" t="str">
        <x:v>{"display":"출발점 위치에너지를 0으로 두면 전체 에너지는 ½m·20²=200m. 위치에너지와 운동에너지가 같을 때 각각 100m. ½mv²=100m이므로 v=10√2 m/s이다.","answerKey":null}</x:v>
      </x:c>
      <x:c r="J50" s="56" t="str">
        <x:v>[{"criterion":"방향·부호·적용 조건 설정","points":2},{"criterion":"핵심 식 전개","points":3},{"criterion":"수치 계산","points":3},{"criterion":"최종값·단위·해석","points":2}]</x:v>
      </x:c>
      <x:c r="K50" s="56" t="str">
        <x:v>{"steps":["공기 저항이 없으면 K+U가 보존된다.","K=U일 때 K는 전체 에너지의 절반이다."],"formulas":["½mv₀²=K+U","K=U=¼mv₀²"],"commonMistakes":["속력이 절반인 10 m/s라고 하는 것","에너지가 절반이면 속력도 절반이라고 보는 것"]}</x:v>
      </x:c>
      <x:c r="L50" s="56" t="str">
        <x:v>{}</x:v>
      </x:c>
      <x:c r="M50" s="56" t="str">
        <x:v>{"prompt":"물체를 지면에서 30 m/s로 위로 던졌다. 위치에너지가 운동에너지의 2배가 되는 지점의 속력을 구하시오.","answer":"10√3 m/s","explanation":"전체 에너지 ½m·900. U=2K이므로 전체=3K, K=150m. ½mv²=150m → v=10√3.","inputMode":"text","acceptableAnswers":["10sqrt3","10√3","17.32"]}</x:v>
      </x:c>
      <x:c r="N50" s="56" t="str">
        <x:v>verified</x:v>
      </x:c>
      <x:c r="O50" s="56" t="str"/>
      <x:c r="P50" s="56" t="str">
        <x:v>{"page":1,"crop":[55,1310,675,350]}</x:v>
      </x:c>
    </x:row>
    <x:row r="51" ht="44" customHeight="1">
      <x:c r="A51" s="56" t="str">
        <x:v>physics1-basic-r07</x:v>
      </x:c>
      <x:c r="B51" s="56" t="n">
        <x:v>5</x:v>
      </x:c>
      <x:c r="C51" s="56" t="str">
        <x:v>subjective</x:v>
      </x:c>
      <x:c r="D51" s="56" t="str">
        <x:v>achievement</x:v>
      </x:c>
      <x:c r="E51" s="56" t="n">
        <x:v>10</x:v>
      </x:c>
      <x:c r="F51" s="56" t="str">
        <x:v>일과 에너지</x:v>
      </x:c>
      <x:c r="G51" s="56" t="str">
        <x:v>일-에너지 정리</x:v>
      </x:c>
      <x:c r="H51" s="56" t="str">
        <x:v>하</x:v>
      </x:c>
      <x:c r="I51" s="56" t="str">
        <x:v>{"display":"초기 운동에너지 ½·2·4²=16 J. 힘이 한 일 2·10=20 J. 최종 운동에너지 36 J이므로 ½·2·v²=v²=36, v=6 m/s이다.","answerKey":null}</x:v>
      </x:c>
      <x:c r="J51" s="56" t="str">
        <x:v>[{"criterion":"방향·부호·적용 조건 설정","points":2},{"criterion":"핵심 식 전개","points":3},{"criterion":"수치 계산","points":3},{"criterion":"최종값·단위·해석","points":2}]</x:v>
      </x:c>
      <x:c r="K51" s="56" t="str">
        <x:v>{"steps":["마찰이 없고 힘이 운동 방향이면 W=Fd."],"formulas":["K_f=K_i+Fd"],"commonMistakes":["가속도 1 m/s²를 구한 뒤 시간을 임의로 정하는 것","일을 2×10×cos90으로 계산하는 것"]}</x:v>
      </x:c>
      <x:c r="L51" s="56" t="str">
        <x:v>{}</x:v>
      </x:c>
      <x:c r="M51" s="56" t="str">
        <x:v>{"prompt":"질량 4 kg 물체가 3 m/s로 움직일 때 같은 방향 5 N 힘이 8 m 동안 작용한다. 최종속력은?","answer":"√29 m/s","explanation":"K_i=18 J, W=40 J, K_f=58 J=2v²이므로 v²=29.","inputMode":"text","acceptableAnswers":["sqrt29","√29","5.385"]}</x:v>
      </x:c>
      <x:c r="N51" s="56" t="str">
        <x:v>verified</x:v>
      </x:c>
      <x:c r="O51" s="56" t="str"/>
      <x:c r="P51" s="56" t="str">
        <x:v>{"page":1,"crop":[760,180,670,300]}</x:v>
      </x:c>
    </x:row>
    <x:row r="52" ht="44" customHeight="1">
      <x:c r="A52" s="56" t="str">
        <x:v>physics1-basic-r07</x:v>
      </x:c>
      <x:c r="B52" s="56" t="n">
        <x:v>6</x:v>
      </x:c>
      <x:c r="C52" s="56" t="str">
        <x:v>subjective</x:v>
      </x:c>
      <x:c r="D52" s="56" t="str">
        <x:v>achievement</x:v>
      </x:c>
      <x:c r="E52" s="56" t="n">
        <x:v>15</x:v>
      </x:c>
      <x:c r="F52" s="56" t="str">
        <x:v>일과 에너지</x:v>
      </x:c>
      <x:c r="G52" s="56" t="str">
        <x:v>일률과 질량 유량</x:v>
      </x:c>
      <x:c r="H52" s="56" t="str">
        <x:v>상</x:v>
      </x:c>
      <x:c r="I52" s="56" t="str">
        <x:v>{"display":"물체 선밀도는 10 kg/5 m=2 kg/m. 벨트 속도 4 m/s이므로 질량 유량은 8 kg/s. 매초 각 질량이 높이 5 m만큼 얻는 위치에너지는 P=(8 kg/s)·10·5=400 W이다.","answerKey":null}</x:v>
      </x:c>
      <x:c r="J52" s="56" t="str">
        <x:v>[{"criterion":"질량 유량 8 kg/s","points":6},{"criterion":"위치에너지 증가율 설정","points":4},{"criterion":"일률 400 W","points":5}]</x:v>
      </x:c>
      <x:c r="K52" s="56" t="str">
        <x:v>{"steps":["경사면 길이 20 m는 한 물체의 이동시간을 구하는 다른 풀이에 사용 가능하다.","공기 저항 무시 조건보다 마찰·벨트가 물체에 일을 해 위치에너지를 올린다는 점이 핵심이다."],"formulas":["P=ṁgh","ṁ=(m/간격)v"],"commonMistakes":["경사면 위 물체 개수를 끝점 포함으로 세어 4개/5개 논쟁에 빠지는 것","한 물체의 에너지 500 J를 그대로 일률로 쓰는 것"]}</x:v>
      </x:c>
      <x:c r="L52" s="56" t="str">
        <x:v>{}</x:v>
      </x:c>
      <x:c r="M52" s="56" t="str">
        <x:v>{"prompt":"질량 6 kg 상자가 3 m 간격으로 놓인 벨트가 2 m/s로 움직이며 높이 4 m까지 올린다. g=10. 필요한 이상적 일률은?","answer":"160 W","explanation":"질량 유량=(6/3)·2=4 kg/s, P=4·10·4=160 W.","inputMode":"text","acceptableAnswers":["160","160W","160 W"]}</x:v>
      </x:c>
      <x:c r="N52" s="56" t="str">
        <x:v>verified</x:v>
      </x:c>
      <x:c r="O52" s="56" t="str"/>
      <x:c r="P52" s="56" t="str">
        <x:v>{"page":1,"crop":[760,460,670,510]}</x:v>
      </x:c>
    </x:row>
    <x:row r="53" ht="44" customHeight="1">
      <x:c r="A53" s="56" t="str">
        <x:v>physics1-basic-r07</x:v>
      </x:c>
      <x:c r="B53" s="56" t="n">
        <x:v>7</x:v>
      </x:c>
      <x:c r="C53" s="56" t="str">
        <x:v>subjective</x:v>
      </x:c>
      <x:c r="D53" s="56" t="str">
        <x:v>achievement</x:v>
      </x:c>
      <x:c r="E53" s="56" t="n">
        <x:v>30</x:v>
      </x:c>
      <x:c r="F53" s="56" t="str">
        <x:v>일과 에너지</x:v>
      </x:c>
      <x:c r="G53" s="56" t="str">
        <x:v>비스듬한 힘·마찰·알짜일</x:v>
      </x:c>
      <x:c r="H53" s="56" t="str">
        <x:v>상</x:v>
      </x:c>
      <x:c r="I53" s="56" t="str">
        <x:v>{"display":"sin45°=cos45°≈0.7. ① W_F=100·10·0.7=700 J. ② N=mg-Fsin45=100-70=30 N. ③ f_k=0.1·30=3 N, W_f=-3·10=-30 J. ④ 중력과 수직항력의 일은 0이므로 전체 알짜일은 700-30=670 J.","answerKey":null}</x:v>
      </x:c>
      <x:c r="J53" s="56" t="str">
        <x:v>[{"criterion":"힘이 한 일 700 J","points":5},{"criterion":"수직항력 30 N","points":10},{"criterion":"마찰의 일 -30 J","points":5},{"criterion":"알짜일 670 J","points":10}]</x:v>
      </x:c>
      <x:c r="K53" s="56" t="str">
        <x:v>{"steps":["위로 당기는 성분 때문에 수직항력과 마찰력이 줄어든다.","마찰이 한 일은 운동 방향과 반대이므로 음수다."],"formulas":["W=Fdcosθ","N=mg-Fsinθ","f_k=μ_kN","W_net=ΣW"],"commonMistakes":["N=mg로 두는 것","마찰력 계산에 μmg를 쓰는 것","시스템 전체 일을 700+30으로 더하는 것"]}</x:v>
      </x:c>
      <x:c r="L53" s="56" t="str">
        <x:v>{}</x:v>
      </x:c>
      <x:c r="M53" s="56" t="str">
        <x:v>{"prompt":"질량 20 kg 상자를 수평면과 37° 위 방향으로 100 N 당겨 5 m 이동시킨다. sin37=0.6, cos37=0.8, μ_k=0.2, g=10. 힘의 일, N, 마찰의 일, 알짜일을 구하시오.","answer":"400 J, 140 N, -140 J, 260 J","explanation":"W_F=100·5·0.8=400. N=200-60=140. f=28 N, W_f=-140. W_net=260 J.","inputMode":"text","acceptableAnswers":["400,140,-140,260"]}</x:v>
      </x:c>
      <x:c r="N53" s="56" t="str">
        <x:v>verified</x:v>
      </x:c>
      <x:c r="O53" s="56" t="str"/>
      <x:c r="P53" s="56" t="str">
        <x:v>{"page":1,"crop":[760,960,670,930]}</x:v>
      </x:c>
    </x:row>
    <x:row r="54" ht="44" customHeight="1">
      <x:c r="A54" s="56" t="str">
        <x:v>physics1-basic-r08</x:v>
      </x:c>
      <x:c r="B54" s="56" t="n">
        <x:v>1</x:v>
      </x:c>
      <x:c r="C54" s="56" t="str">
        <x:v>subjective</x:v>
      </x:c>
      <x:c r="D54" s="56" t="str">
        <x:v>achievement</x:v>
      </x:c>
      <x:c r="E54" s="56" t="n">
        <x:v>25</x:v>
      </x:c>
      <x:c r="F54" s="56" t="str">
        <x:v>일과 에너지</x:v>
      </x:c>
      <x:c r="G54" s="56" t="str">
        <x:v>힘-거리 그래프</x:v>
      </x:c>
      <x:c r="H54" s="56" t="str">
        <x:v>중</x:v>
      </x:c>
      <x:c r="I54" s="56" t="str">
        <x:v>{"display":"① 0~5 m에서 일 10·5=50 J, 5~10 m에서 20·5=100 J이므로 총 150 J. ② 5 m에서 K=50 J=½·1·v² → v=10 m/s. ③ 10 m에서 K=150 J → v=10√3 m/s이므로 5 m 때의 √3배이다.","answerKey":null}</x:v>
      </x:c>
      <x:c r="J54" s="56" t="str">
        <x:v>[{"criterion":"총 일 150 J","points":5},{"criterion":"5 m 속력 10 m/s","points":10},{"criterion":"10 m 속력비 √3배","points":10}]</x:v>
      </x:c>
      <x:c r="K54" s="56" t="str">
        <x:v>{"steps":["F-s 그래프 아래 넓이가 힘이 한 일이다.","처음 정지했고 마찰이 없으므로 누적 일이 곧 운동에너지다."],"formulas":["W=∫Fds","W=½mv²"],"commonMistakes":["10 m 지점에서 마지막 5 m의 일 100 J만 쓰는 것","속력비를 에너지비 3으로 쓰는 것"]}</x:v>
      </x:c>
      <x:c r="L54" s="56" t="str">
        <x:v>{}</x:v>
      </x:c>
      <x:c r="M54" s="56" t="str">
        <x:v>{"prompt":"정지한 2 kg 물체에 0~4 m에서는 8 N, 4~10 m에서는 12 N 힘이 작용한다. 10 m까지 한 일, 4 m와 10 m에서 속력, 속력비를 구하시오.","answer":"104 J, v₄=4√2 m/s, v₁₀=2√26 m/s, v₁₀/v₄=√13/2","explanation":"W₄=32 J, W₁₀=32+72=104 J. v=√(2W/m)=√W이므로 v₄=√32=4√2, v₁₀=√104=2√26.","inputMode":"text","acceptableAnswers":["104,4sqrt2,2sqrt26,sqrt13/2"]}</x:v>
      </x:c>
      <x:c r="N54" s="56" t="str">
        <x:v>verified</x:v>
      </x:c>
      <x:c r="O54" s="56" t="str"/>
      <x:c r="P54" s="56" t="str">
        <x:v>{"page":1,"crop":[55,180,675,600]}</x:v>
      </x:c>
    </x:row>
    <x:row r="55" ht="44" customHeight="1">
      <x:c r="A55" s="56" t="str">
        <x:v>physics1-basic-r08</x:v>
      </x:c>
      <x:c r="B55" s="56" t="n">
        <x:v>2</x:v>
      </x:c>
      <x:c r="C55" s="56" t="str">
        <x:v>subjective</x:v>
      </x:c>
      <x:c r="D55" s="56" t="str">
        <x:v>achievement</x:v>
      </x:c>
      <x:c r="E55" s="56" t="n">
        <x:v>10</x:v>
      </x:c>
      <x:c r="F55" s="56" t="str">
        <x:v>일과 에너지</x:v>
      </x:c>
      <x:c r="G55" s="56" t="str">
        <x:v>진자와 역학적 에너지</x:v>
      </x:c>
      <x:c r="H55" s="56" t="str">
        <x:v>하</x:v>
      </x:c>
      <x:c r="I55" s="56" t="str">
        <x:v>{"display":"A에서 B까지 높이 1 m만큼 내려온다. mgh=½mv²에서 v=√(2gh)=√20=2√5 m/s이다.","answerKey":null}</x:v>
      </x:c>
      <x:c r="J55" s="56" t="str">
        <x:v>[{"criterion":"방향·부호·적용 조건 설정","points":2},{"criterion":"핵심 식 전개","points":3},{"criterion":"수치 계산","points":3},{"criterion":"최종값·단위·해석","points":2}]</x:v>
      </x:c>
      <x:c r="K55" s="56" t="str">
        <x:v>{"steps":["질량은 약분되어 속력에 영향을 주지 않는다."],"formulas":["mgh=½mv²"],"commonMistakes":["실 길이 1 m를 이동거리로만 보고 높이차를 2 m로 쓰는 것","질량 2 kg을 약분하지 못하는 것"]}</x:v>
      </x:c>
      <x:c r="L55" s="56" t="str">
        <x:v>{}</x:v>
      </x:c>
      <x:c r="M55" s="56" t="str">
        <x:v>{"prompt":"길이 0.8 m 진자를 수평 위치에서 놓았다. 최하점 속력을 g=10으로 구하시오.","answer":"4 m/s","explanation":"높이차 0.8 m이므로 v=√(2·10·0.8)=4 m/s.","inputMode":"text","acceptableAnswers":["4","4m/s","4 m/s"]}</x:v>
      </x:c>
      <x:c r="N55" s="56" t="str">
        <x:v>verified</x:v>
      </x:c>
      <x:c r="O55" s="56" t="str"/>
      <x:c r="P55" s="56" t="str">
        <x:v>{"page":1,"crop":[55,760,675,370]}</x:v>
      </x:c>
    </x:row>
    <x:row r="56" ht="44" customHeight="1">
      <x:c r="A56" s="56" t="str">
        <x:v>physics1-basic-r08</x:v>
      </x:c>
      <x:c r="B56" s="56" t="n">
        <x:v>3</x:v>
      </x:c>
      <x:c r="C56" s="56" t="str">
        <x:v>subjective</x:v>
      </x:c>
      <x:c r="D56" s="56" t="str">
        <x:v>achievement</x:v>
      </x:c>
      <x:c r="E56" s="56" t="n">
        <x:v>20</x:v>
      </x:c>
      <x:c r="F56" s="56" t="str">
        <x:v>일과 에너지</x:v>
      </x:c>
      <x:c r="G56" s="56" t="str">
        <x:v>용수철 상수와 탄성에너지</x:v>
      </x:c>
      <x:c r="H56" s="56" t="str">
        <x:v>중</x:v>
      </x:c>
      <x:c r="I56" s="56" t="str">
        <x:v>{"display":"그래프에서 x=0.4 m일 때 F=10 N이므로 k=F/x=25 N/m. 탄성 위치에너지는 F-x 그래프 아래 삼각형 넓이 또는 ½kx²이므로 2 J이다.","answerKey":null}</x:v>
      </x:c>
      <x:c r="J56" s="56" t="str">
        <x:v>[{"criterion":"용수철 상수 25 N/m","points":10},{"criterion":"탄성에너지 2 J","points":10}]</x:v>
      </x:c>
      <x:c r="K56" s="56" t="str">
        <x:v>{"steps":["후크 법칙 구간에서 F=kx이다.","탄성에너지는 힘-변형량 그래프 아래 넓이다."],"formulas":["F=kx","U_s=½kx²"],"commonMistakes":["k=10/4=2.5로 cm처럼 계산하는 것","U=Fx=4 J로 계산해 1/2를 빼먹는 것"]}</x:v>
      </x:c>
      <x:c r="L56" s="56" t="str">
        <x:v>{}</x:v>
      </x:c>
      <x:c r="M56" s="56" t="str">
        <x:v>{"prompt":"용수철 F-x 그래프가 원점과 (0.30 m, 18 N)을 잇는 직선이다. k와 0.20 m 늘어났을 때 탄성에너지를 구하시오.","answer":"k=60 N/m, U=1.2 J","explanation":"k=18/0.3=60. U=½·60·0.2²=1.2 J.","inputMode":"text","acceptableAnswers":["60,1.2","60N/m,1.2J"]}</x:v>
      </x:c>
      <x:c r="N56" s="56" t="str">
        <x:v>verified</x:v>
      </x:c>
      <x:c r="O56" s="56" t="str"/>
      <x:c r="P56" s="56" t="str">
        <x:v>{"page":1,"crop":[55,1110,675,780]}</x:v>
      </x:c>
    </x:row>
    <x:row r="57" ht="44" customHeight="1">
      <x:c r="A57" s="56" t="str">
        <x:v>physics1-basic-r08</x:v>
      </x:c>
      <x:c r="B57" s="56" t="n">
        <x:v>4</x:v>
      </x:c>
      <x:c r="C57" s="56" t="str">
        <x:v>subjective</x:v>
      </x:c>
      <x:c r="D57" s="56" t="str">
        <x:v>achievement</x:v>
      </x:c>
      <x:c r="E57" s="56" t="n">
        <x:v>20</x:v>
      </x:c>
      <x:c r="F57" s="56" t="str">
        <x:v>일과 에너지</x:v>
      </x:c>
      <x:c r="G57" s="56" t="str">
        <x:v>용수철 에너지 보존</x:v>
      </x:c>
      <x:c r="H57" s="56" t="str">
        <x:v>중</x:v>
      </x:c>
      <x:c r="I57" s="56" t="str">
        <x:v>{"display":"A에서 x=1 m이므로 U=½·20·1²=10 J. O에서 U=0이라 ½·1·v²=10 → v=2√5 m/s. O에서 0.5 m 압축되면 U=½·20·0.5²=2.5 J, K=10-2.5=7.5 J이므로 v=√15 m/s이다.","answerKey":null}</x:v>
      </x:c>
      <x:c r="J57" s="56" t="str">
        <x:v>[{"criterion":"A점 탄성에너지 10 J","points":5},{"criterion":"O점 속력 2√5 m/s","points":5},{"criterion":"0.5 m 압축 시 속력 √15 m/s","points":10}]</x:v>
      </x:c>
      <x:c r="K57" s="56" t="str">
        <x:v>{"steps":["마찰이 없으면 총 역학적 에너지 10 J가 보존된다.","평형점 양쪽에서 같은 압축/신장량이면 같은 탄성에너지다."],"formulas":["E=½kx²+½mv²"],"commonMistakes":["평형점에서 속력이 0이라고 하는 것","0.5 m 위치에서 남은 에너지를 5 J로 계산하는 것"]}</x:v>
      </x:c>
      <x:c r="L57" s="56" t="str">
        <x:v>{}</x:v>
      </x:c>
      <x:c r="M57" s="56" t="str">
        <x:v>{"prompt":"k=50 N/m, m=2 kg인 수평 용수철을 평형점에서 0.4 m 당겨 놓는다. 평형점 속력과 0.2 m 압축 시 속력을 구하시오.","answer":"2 m/s, √3 m/s","explanation":"총 E=½·50·0.16=4 J. O에서 ½·2v²=4 →2. 0.2 m에서 U=1 J, K=3 J → v=√3.","inputMode":"text","acceptableAnswers":["2,sqrt3","2m/s,√3m/s"]}</x:v>
      </x:c>
      <x:c r="N57" s="56" t="str">
        <x:v>verified</x:v>
      </x:c>
      <x:c r="O57" s="56" t="str"/>
      <x:c r="P57" s="56" t="str">
        <x:v>{"page":1,"crop":[760,180,670,680]}</x:v>
      </x:c>
    </x:row>
    <x:row r="58" ht="44" customHeight="1">
      <x:c r="A58" s="56" t="str">
        <x:v>physics1-basic-r08</x:v>
      </x:c>
      <x:c r="B58" s="56" t="n">
        <x:v>5</x:v>
      </x:c>
      <x:c r="C58" s="56" t="str">
        <x:v>subjective</x:v>
      </x:c>
      <x:c r="D58" s="56" t="str">
        <x:v>achievement</x:v>
      </x:c>
      <x:c r="E58" s="56" t="n">
        <x:v>15</x:v>
      </x:c>
      <x:c r="F58" s="56" t="str">
        <x:v>일과 에너지</x:v>
      </x:c>
      <x:c r="G58" s="56" t="str">
        <x:v>마찰과 열</x:v>
      </x:c>
      <x:c r="H58" s="56" t="str">
        <x:v>상</x:v>
      </x:c>
      <x:c r="I58" s="56" t="str">
        <x:v>{"display":"빗면 길이 2 m, 각 30°이므로 높이차 h=1 m. 위치에너지 감소는 10 J, B에서 운동에너지는 ½·1·4²=8 J이므로 마찰로 생긴 열은 2 J=0.5 cal. 마찰력은 2 J/2 m=1 N. N=mgcos30=5√3 N이므로 μ=1/(5√3)=√3/15≈0.115이다.","answerKey":null}</x:v>
      </x:c>
      <x:c r="J58" s="56" t="str">
        <x:v>[{"criterion":"발생 열 2 J=0.5 cal","points":10},{"criterion":"마찰계수 √3/15≈0.115","points":5}]</x:v>
      </x:c>
      <x:c r="K58" s="56" t="str">
        <x:v>{"steps":["소실된 역학적 에너지가 열로 전환된다.","마찰계수 계산은 J 단위의 일과 힘을 사용한다."],"formulas":["Q=mgh-½mv²","W_f=fd","μ=f/(mgcosθ)"],"commonMistakes":["2 J를 8 cal로 바꾸는 것(4 J=1 cal)","마찰력이 2 N이라고 하는 것","N=mg로 두는 것"]}</x:v>
      </x:c>
      <x:c r="L58" s="56" t="str">
        <x:v>{}</x:v>
      </x:c>
      <x:c r="M58" s="56" t="str">
        <x:v>{"prompt":"질량 2 kg 물체가 37° 빗면을 5 m 내려가 속력 6 m/s가 되었다. 처음 정지, sin37=0.6, cos37=0.8, g=10, 4 J/cal. 발생 열량과 마찰계수를 구하시오.","answer":"열 6 cal, μ=0.3","explanation":"높이차 3 m라 위치에너지 감소 60 J, 운동에너지 36 J. 열은 24 J=6 cal. 마찰력은 24/5=4.8 N, N=2·10·0.8=16 N이므로 μ=0.3.","inputMode":"text","acceptableAnswers":["6,0.3","6cal,0.3"]}</x:v>
      </x:c>
      <x:c r="N58" s="56" t="str">
        <x:v>verified</x:v>
      </x:c>
      <x:c r="O58" s="56" t="str"/>
      <x:c r="P58" s="56" t="str">
        <x:v>{"page":1,"crop":[760,850,670,570]}</x:v>
      </x:c>
    </x:row>
    <x:row r="59" ht="44" customHeight="1">
      <x:c r="A59" s="56" t="str">
        <x:v>physics1-basic-r08</x:v>
      </x:c>
      <x:c r="B59" s="56" t="n">
        <x:v>6</x:v>
      </x:c>
      <x:c r="C59" s="56" t="str">
        <x:v>subjective</x:v>
      </x:c>
      <x:c r="D59" s="56" t="str">
        <x:v>achievement</x:v>
      </x:c>
      <x:c r="E59" s="56" t="n">
        <x:v>10</x:v>
      </x:c>
      <x:c r="F59" s="56" t="str">
        <x:v>일과 에너지</x:v>
      </x:c>
      <x:c r="G59" s="56" t="str">
        <x:v>낙하와 용수철 최대 압축</x:v>
      </x:c>
      <x:c r="H59" s="56" t="str">
        <x:v>상</x:v>
      </x:c>
      <x:c r="I59" s="56" t="str">
        <x:v>{"display":"처음과 최대 압축 순간 모두 속력 0이다. 물체는 낙하 높이 h뿐 아니라 용수철이 x만큼 압축되는 동안에도 중력이 일을 하므로 mg(h+x)=½kx². 0.8·10(0.25+x)=4.5x². 정리하면 9x²-16x-4=0, 양의 해 x=2 m이다.","answerKey":null}</x:v>
      </x:c>
      <x:c r="J59" s="56" t="str">
        <x:v>[{"criterion":"방향·부호·적용 조건 설정","points":2},{"criterion":"핵심 식 전개","points":3},{"criterion":"수치 계산","points":3},{"criterion":"최종값·단위·해석","points":2}]</x:v>
      </x:c>
      <x:c r="K59" s="56" t="str">
        <x:v>{"steps":["중력 위치에너지 기준을 최대 압축 위치에 두면 낙하 높이는 h+x이다."],"formulas":["mg(h+x)=½kx²"],"commonMistakes":["mgh=½kx²로 압축 중 추가 낙하 x를 빼먹는 것","평형 압축량 mg/k를 최대 압축량으로 쓰는 것"]}</x:v>
      </x:c>
      <x:c r="L59" s="56" t="str">
        <x:v>{}</x:v>
      </x:c>
      <x:c r="M59" s="56" t="str">
        <x:v>{"prompt":"0.5 kg 물체를 k=20 N/m 용수철 위 0.30 m 높이에서 떨어뜨린다. g=10. 최대 압축량을 구하시오.","answer":"약 0.711 m","explanation":"5(0.3+x)=10x² → 10x²-5x-1.5=0, 양의 해 x=(5+√85)/20≈0.711 m.","inputMode":"text","acceptableAnswers":["0.711","(5+sqrt85)/20"]}</x:v>
      </x:c>
      <x:c r="N59" s="56" t="str">
        <x:v>verified</x:v>
      </x:c>
      <x:c r="O59" s="56" t="str"/>
      <x:c r="P59" s="56" t="str">
        <x:v>{"page":1,"crop":[760,1410,670,490]}</x:v>
      </x:c>
    </x:row>
    <x:row r="60" ht="44" customHeight="1">
      <x:c r="A60" s="56" t="str">
        <x:v>physics1-basic-total-mechanics</x:v>
      </x:c>
      <x:c r="B60" s="56" t="n">
        <x:v>1</x:v>
      </x:c>
      <x:c r="C60" s="56" t="str">
        <x:v>objective</x:v>
      </x:c>
      <x:c r="D60" s="56" t="str">
        <x:v>binary</x:v>
      </x:c>
      <x:c r="E60" s="56" t="n">
        <x:v>4</x:v>
      </x:c>
      <x:c r="F60" s="56" t="str">
        <x:v>운동의 기술</x:v>
      </x:c>
      <x:c r="G60" s="56" t="str">
        <x:v>시간기록계와 평균 가속도</x:v>
      </x:c>
      <x:c r="H60" s="56" t="str">
        <x:v>중</x:v>
      </x:c>
      <x:c r="I60" s="56" t="str">
        <x:v>{"display":"⑤","answerKey":5}</x:v>
      </x:c>
      <x:c r="J60" s="56" t="str">
        <x:v>[{"criterion":"정답 번호와 핵심 판단 근거가 일치함","points":4}]</x:v>
      </x:c>
      <x:c r="K60" s="56" t="str">
        <x:v>{"steps":["50 Hz 시간기록계에서 5타점 구간의 시간은 0.1 s이다.","각 구간 이동거리는 2 cm, 4 cm, 6 cm이므로 등가속도 운동이다.","A에서 D까지 12 cm를 0.3 s 동안 이동하여 평균 속력은 0.4 m/s이다.","연속 구간 이동거리 차가 0.02 m이므로 a=0.02/(0.1)^2=2 m/s²이다. 따라서 0.2 m/s²라는 ⑤가 틀리다."],"formulas":["Δt=5/50=0.1 s","v_avg=Δs/Δt","등가속도: Δs_(연속 구간 차)=a(Δt)^2"],"commonMistakes":["A가 첫 점이면 운동 방향은 A→D임을 놓치는 것","cm를 m로 바꾸지 않는 것","구간 시간이 0.1 s임을 제곱하지 않는 것"]}</x:v>
      </x:c>
      <x:c r="L60" s="56" t="str">
        <x:v>{"inputMode":"choice","choices":["①","②","③","④","⑤"],"answer":"5","acceptableAnswers":["5","⑤"]}</x:v>
      </x:c>
      <x:c r="M60" s="56" t="str">
        <x:v>{"prompt":"50 Hz 시간기록계에서 5타점마다 구분한 이동거리가 차례로 3 cm, 6 cm, 9 cm이다. 평균 가속도의 크기를 구하시오.","answer":"3 m/s²","explanation":"연속 구간 이동거리의 차 0.03 m를 (0.1 s)²로 나누면 3 m/s²이다.","inputMode":"text","acceptableAnswers":["3","3m/s²","3 m/s2"]}</x:v>
      </x:c>
      <x:c r="N60" s="56" t="str">
        <x:v>corrected</x:v>
      </x:c>
      <x:c r="O60" s="56" t="str">
        <x:v>원문에서 A가 첫 점이면 운동 방향은 오른쪽이다. ①을 “오른쪽”으로 교정해야 객관식 정답이 하나(⑤)가 된다. 공식 해설의 0.2 m/s² 표기는 2 m/s²로 교정하였다.</x:v>
      </x:c>
      <x:c r="P60" s="56" t="str">
        <x:v>{"page":2,"crop":[35,80,1120,720]}</x:v>
      </x:c>
    </x:row>
    <x:row r="61" ht="44" customHeight="1">
      <x:c r="A61" s="56" t="str">
        <x:v>physics1-basic-total-mechanics</x:v>
      </x:c>
      <x:c r="B61" s="56" t="n">
        <x:v>2</x:v>
      </x:c>
      <x:c r="C61" s="56" t="str">
        <x:v>objective</x:v>
      </x:c>
      <x:c r="D61" s="56" t="str">
        <x:v>binary</x:v>
      </x:c>
      <x:c r="E61" s="56" t="n">
        <x:v>4</x:v>
      </x:c>
      <x:c r="F61" s="56" t="str">
        <x:v>열역학</x:v>
      </x:c>
      <x:c r="G61" s="56" t="str">
        <x:v>P-V 그래프와 상태함수</x:v>
      </x:c>
      <x:c r="H61" s="56" t="str">
        <x:v>중</x:v>
      </x:c>
      <x:c r="I61" s="56" t="str">
        <x:v>{"display":"②","answerKey":2}</x:v>
      </x:c>
      <x:c r="J61" s="56" t="str">
        <x:v>[{"criterion":"정답 번호와 핵심 판단 근거가 일치함","points":4}]</x:v>
      </x:c>
      <x:c r="K61" s="56" t="str">
        <x:v>{"steps":["기체가 한 일은 P-V 그래프 아래 넓이이다. 높은 압력 P2에서 팽창하는 A→B→C 경로의 일이 더 크다.","내부 에너지 변화는 처음 상태 A와 끝 상태 C만으로 결정되므로 두 경로에서 같다.","PV=nRT이므로 P와 V가 모두 큰 C의 온도가 A보다 높다. 따라서 ㄱ, ㄴ만 옳다."],"formulas":["W=∫P dV","ΔU는 상태함수","PV=nRT"],"commonMistakes":["경로가 다르면 내부 에너지 변화도 다르다고 생각하는 것","그래프의 세로 이동 구간에도 일이 있다고 보는 것"]}</x:v>
      </x:c>
      <x:c r="L61" s="56" t="str">
        <x:v>{"inputMode":"choice","choices":["①","②","③","④","⑤"],"answer":"2","acceptableAnswers":["2","②"]}</x:v>
      </x:c>
      <x:c r="M61" s="56" t="str">
        <x:v>{"prompt":"같은 A와 C를 잇는 두 P-V 경로 중 더 높은 압력에서 팽창하는 경로가 있다. 두 경로의 일과 내부 에너지 변화를 비교하시오.","answer":"높은 압력에서 팽창하는 경로의 일이 더 크고, ΔU는 같다.","explanation":"일은 경로에 의존하지만 내부 에너지 변화는 상태 A와 C만으로 정해진다.","inputMode":"text","acceptableAnswers":["일큼ΔU같음"]}</x:v>
      </x:c>
      <x:c r="N61" s="56" t="str">
        <x:v>verified</x:v>
      </x:c>
      <x:c r="O61" s="56" t="str"/>
      <x:c r="P61" s="56" t="str">
        <x:v>{"page":2,"crop":[35,760,1120,820]}</x:v>
      </x:c>
    </x:row>
    <x:row r="62" ht="44" customHeight="1">
      <x:c r="A62" s="56" t="str">
        <x:v>physics1-basic-total-mechanics</x:v>
      </x:c>
      <x:c r="B62" s="56" t="n">
        <x:v>3</x:v>
      </x:c>
      <x:c r="C62" s="56" t="str">
        <x:v>objective</x:v>
      </x:c>
      <x:c r="D62" s="56" t="str">
        <x:v>binary</x:v>
      </x:c>
      <x:c r="E62" s="56" t="n">
        <x:v>4</x:v>
      </x:c>
      <x:c r="F62" s="56" t="str">
        <x:v>운동의 기술</x:v>
      </x:c>
      <x:c r="G62" s="56" t="str">
        <x:v>속도-시간 그래프 해석</x:v>
      </x:c>
      <x:c r="H62" s="56" t="str">
        <x:v>중</x:v>
      </x:c>
      <x:c r="I62" s="56" t="str">
        <x:v>{"display":"③","answerKey":3}</x:v>
      </x:c>
      <x:c r="J62" s="56" t="str">
        <x:v>[{"criterion":"정답 번호와 핵심 판단 근거가 일치함","points":4}]</x:v>
      </x:c>
      <x:c r="K62" s="56" t="str">
        <x:v>{"steps":["6 s 전에는 속도가 양수, 6 s 후에는 음수이므로 방향이 바뀐다.","0~2 s의 기울기가 일정하므로 가속도와 알짜힘이 일정하다.","2~4 s는 등속 운동이고, 6~7 s는 음의 속력 크기가 증가한다.","7 s까지 양의 넓이가 음의 넓이보다 훨씬 커서 위치는 처음 위치의 오른쪽이다. 따라서 ③이 옳지 않다."],"formulas":["변위= v-t 그래프의 부호 있는 넓이","가속도=dv/dt"],"commonMistakes":["속도가 음수라는 이유만으로 위치도 왼쪽이라고 판단하는 것","속도와 속력을 혼동하는 것"]}</x:v>
      </x:c>
      <x:c r="L62" s="56" t="str">
        <x:v>{"inputMode":"choice","choices":["①","②","③","④","⑤"],"answer":"3","acceptableAnswers":["3","③"]}</x:v>
      </x:c>
      <x:c r="M62" s="56" t="str">
        <x:v>{"prompt":"v-t 그래프에서 0~4 s의 양의 넓이가 18 m, 4~5 s의 음의 넓이가 3 m이다. 5 s의 위치를 처음 위치와 비교하시오.","answer":"처음 위치보다 오른쪽 15 m","explanation":"순변위는 18-3=15 m이다.","inputMode":"text","acceptableAnswers":["15","오른쪽15m"]}</x:v>
      </x:c>
      <x:c r="N62" s="56" t="str">
        <x:v>verified</x:v>
      </x:c>
      <x:c r="O62" s="56" t="str"/>
      <x:c r="P62" s="56" t="str">
        <x:v>{"page":3,"crop":[35,80,1120,720]}</x:v>
      </x:c>
    </x:row>
    <x:row r="63" ht="44" customHeight="1">
      <x:c r="A63" s="56" t="str">
        <x:v>physics1-basic-total-mechanics</x:v>
      </x:c>
      <x:c r="B63" s="56" t="n">
        <x:v>4</x:v>
      </x:c>
      <x:c r="C63" s="56" t="str">
        <x:v>objective</x:v>
      </x:c>
      <x:c r="D63" s="56" t="str">
        <x:v>binary</x:v>
      </x:c>
      <x:c r="E63" s="56" t="n">
        <x:v>4</x:v>
      </x:c>
      <x:c r="F63" s="56" t="str">
        <x:v>운동의 기술</x:v>
      </x:c>
      <x:c r="G63" s="56" t="str">
        <x:v>속력-시간 그래프와 이동거리</x:v>
      </x:c>
      <x:c r="H63" s="56" t="str">
        <x:v>중</x:v>
      </x:c>
      <x:c r="I63" s="56" t="str">
        <x:v>{"display":"⑤","answerKey":5}</x:v>
      </x:c>
      <x:c r="J63" s="56" t="str">
        <x:v>[{"criterion":"정답 번호와 핵심 판단 근거가 일치함","points":4}]</x:v>
      </x:c>
      <x:c r="K63" s="56" t="str">
        <x:v>{"steps":["세 그래프는 t1에서 같은 속력을 갖지만 0~t1 동안의 그래프 아래 넓이는 다르다.","그림에서 C가 대부분의 시간 동안 B와 A보다 위에 있으므로 C의 이동거리가 가장 크다.","t1에서 순간속력은 세 물체가 같고, 각 순간 가속도는 접선 기울기로 비교한다."],"formulas":["이동거리=∫v dt (v≥0)","순간가속도=dv/dt"],"commonMistakes":["끝점 속력이 같으므로 평균속도도 같다고 보는 것","함숫값과 기울기를 혼동하는 것"]}</x:v>
      </x:c>
      <x:c r="L63" s="56" t="str">
        <x:v>{"inputMode":"choice","choices":["①","②","③","④","⑤"],"answer":"5","acceptableAnswers":["5","⑤"]}</x:v>
      </x:c>
      <x:c r="M63" s="56" t="str">
        <x:v>{"prompt":"같은 시작·끝 속력을 갖는 세 v-t 곡선 중 전 구간에서 가장 위에 있는 곡선의 이동거리를 비교하시오.","answer":"그 곡선의 이동거리가 가장 크다.","explanation":"이동거리는 v-t 그래프 아래 넓이이므로 더 위에 있는 곡선의 넓이가 크다.","inputMode":"text","acceptableAnswers":["가장크다"]}</x:v>
      </x:c>
      <x:c r="N63" s="56" t="str">
        <x:v>verified</x:v>
      </x:c>
      <x:c r="O63" s="56" t="str"/>
      <x:c r="P63" s="56" t="str">
        <x:v>{"page":3,"crop":[35,760,1120,820]}</x:v>
      </x:c>
    </x:row>
    <x:row r="64" ht="44" customHeight="1">
      <x:c r="A64" s="56" t="str">
        <x:v>physics1-basic-total-mechanics</x:v>
      </x:c>
      <x:c r="B64" s="56" t="n">
        <x:v>5</x:v>
      </x:c>
      <x:c r="C64" s="56" t="str">
        <x:v>objective</x:v>
      </x:c>
      <x:c r="D64" s="56" t="str">
        <x:v>binary</x:v>
      </x:c>
      <x:c r="E64" s="56" t="n">
        <x:v>4</x:v>
      </x:c>
      <x:c r="F64" s="56" t="str">
        <x:v>운동의 기술</x:v>
      </x:c>
      <x:c r="G64" s="56" t="str">
        <x:v>등가속도 운동</x:v>
      </x:c>
      <x:c r="H64" s="56" t="str">
        <x:v>중</x:v>
      </x:c>
      <x:c r="I64" s="56" t="str">
        <x:v>{"display":"①","answerKey":1}</x:v>
      </x:c>
      <x:c r="J64" s="56" t="str">
        <x:v>[{"criterion":"정답 번호와 핵심 판단 근거가 일치함","points":4}]</x:v>
      </x:c>
      <x:c r="K64" s="56" t="str">
        <x:v>{"steps":["등가속도이고 같은 방향으로 움직이므로 평균 속력은 (20+30)/2=25 m/s이다.","500=25t에서 t=20 s이다.","가속도는 (30-20)/20=0.5 m/s²이다. 따라서 ㄱ만 옳다."],"formulas":["v_avg=(v_i+v_f)/2","s=v_avg t","a=(v_f-v_i)/t"],"commonMistakes":["거리 500 m를 자동차 길이까지 더하는 것","시간을 10 s로 성급히 정하는 것"]}</x:v>
      </x:c>
      <x:c r="L64" s="56" t="str">
        <x:v>{"inputMode":"choice","choices":["①","②","③","④","⑤"],"answer":"1","acceptableAnswers":["1","①"]}</x:v>
      </x:c>
      <x:c r="M64" s="56" t="str">
        <x:v>{"prompt":"속력이 10 m/s에서 20 m/s로 일정하게 증가하며 150 m를 이동했다. 시간과 가속도를 구하시오.","answer":"10 s, 1 m/s²","explanation":"평균 속력 15 m/s이므로 t=150/15=10 s, a=10/10=1 m/s²이다.","inputMode":"text","acceptableAnswers":["10s,1m/s²","10,1"]}</x:v>
      </x:c>
      <x:c r="N64" s="56" t="str">
        <x:v>verified</x:v>
      </x:c>
      <x:c r="O64" s="56" t="str"/>
      <x:c r="P64" s="56" t="str">
        <x:v>{"page":4,"crop":[35,80,1120,720]}</x:v>
      </x:c>
    </x:row>
    <x:row r="65" ht="44" customHeight="1">
      <x:c r="A65" s="56" t="str">
        <x:v>physics1-basic-total-mechanics</x:v>
      </x:c>
      <x:c r="B65" s="56" t="n">
        <x:v>6</x:v>
      </x:c>
      <x:c r="C65" s="56" t="str">
        <x:v>objective</x:v>
      </x:c>
      <x:c r="D65" s="56" t="str">
        <x:v>binary</x:v>
      </x:c>
      <x:c r="E65" s="56" t="n">
        <x:v>4</x:v>
      </x:c>
      <x:c r="F65" s="56" t="str">
        <x:v>힘과 운동</x:v>
      </x:c>
      <x:c r="G65" s="56" t="str">
        <x:v>접촉력과 알짜힘</x:v>
      </x:c>
      <x:c r="H65" s="56" t="str">
        <x:v>중</x:v>
      </x:c>
      <x:c r="I65" s="56" t="str">
        <x:v>{"display":"③","answerKey":3}</x:v>
      </x:c>
      <x:c r="J65" s="56" t="str">
        <x:v>[{"criterion":"정답 번호와 핵심 판단 근거가 일치함","points":4}]</x:v>
      </x:c>
      <x:c r="K65" s="56" t="str">
        <x:v>{"steps":["두 물체 전체 질량은 5 kg이므로 a=20/5=4 m/s²이다.","B의 알짜힘은 1×4=4 N이고, 이 힘이 A가 B를 미는 접촉력이다.","A의 알짜힘은 4×4=16 N이지만 A가 B에 주는 힘은 16 N이 아니다."],"formulas":["a=F/(m_A+m_B)","F_contact=m_B a"],"commonMistakes":["물체 A의 알짜힘과 A가 B를 미는 힘을 같은 것으로 보는 것","전체 질량 대신 한 물체 질량만 쓰는 것"]}</x:v>
      </x:c>
      <x:c r="L65" s="56" t="str">
        <x:v>{"inputMode":"choice","choices":["①","②","③","④","⑤"],"answer":"3","acceptableAnswers":["3","③"]}</x:v>
      </x:c>
      <x:c r="M65" s="56" t="str">
        <x:v>{"prompt":"마찰 없는 면에서 3 kg과 2 kg 물체를 붙여 25 N으로 3 kg 쪽에서 민다. 가속도와 두 물체의 접촉력을 구하시오.","answer":"5 m/s², 10 N","explanation":"전체 가속도는 25/5=5 m/s², 2 kg 물체에 필요한 힘은 2×5=10 N이다.","inputMode":"text","acceptableAnswers":["5,10","5m/s²,10N"]}</x:v>
      </x:c>
      <x:c r="N65" s="56" t="str">
        <x:v>verified</x:v>
      </x:c>
      <x:c r="O65" s="56" t="str"/>
      <x:c r="P65" s="56" t="str">
        <x:v>{"page":4,"crop":[35,760,1120,820]}</x:v>
      </x:c>
    </x:row>
    <x:row r="66" ht="44" customHeight="1">
      <x:c r="A66" s="56" t="str">
        <x:v>physics1-basic-total-mechanics</x:v>
      </x:c>
      <x:c r="B66" s="56" t="n">
        <x:v>7</x:v>
      </x:c>
      <x:c r="C66" s="56" t="str">
        <x:v>objective</x:v>
      </x:c>
      <x:c r="D66" s="56" t="str">
        <x:v>binary</x:v>
      </x:c>
      <x:c r="E66" s="56" t="n">
        <x:v>4</x:v>
      </x:c>
      <x:c r="F66" s="56" t="str">
        <x:v>힘과 운동</x:v>
      </x:c>
      <x:c r="G66" s="56" t="str">
        <x:v>마찰이 있는 연결 물체</x:v>
      </x:c>
      <x:c r="H66" s="56" t="str">
        <x:v>중</x:v>
      </x:c>
      <x:c r="I66" s="56" t="str">
        <x:v>{"display":"②","answerKey":2}</x:v>
      </x:c>
      <x:c r="J66" s="56" t="str">
        <x:v>[{"criterion":"정답 번호와 핵심 판단 근거가 일치함","points":4}]</x:v>
      </x:c>
      <x:c r="K66" s="56" t="str">
        <x:v>{"steps":["추 m에 대해 mg-T=ma, 수평 물체 M에 대해 T-μMg=Ma이다.","두 식을 합하면 a=(m-μM)g/(M+m)이다.","이를 T=Ma+μMg에 대입하면 T=Mm(1+μ)g/(M+m)이다."],"formulas":["mg-T=ma","T-μMg=Ma","T=Mm(1+μ)g/(M+m)"],"commonMistakes":["마찰력 방향을 반대로 두는 것","운동이 성립하는 조건 m&gt;μM을 확인하지 않는 것"]}</x:v>
      </x:c>
      <x:c r="L66" s="56" t="str">
        <x:v>{"inputMode":"choice","choices":["①","②","③","④","⑤"],"answer":"2","acceptableAnswers":["2","②"]}</x:v>
      </x:c>
      <x:c r="M66" s="56" t="str">
        <x:v>{"prompt":"M=5 kg, m=3 kg, μ=0.2, g=10 m/s²이다. 가속도와 장력을 구하시오.","answer":"2.5 m/s², 22.5 N","explanation":"a=(30-10)/8=2.5 m/s², T=3(10-2.5)=22.5 N이다.","inputMode":"text","acceptableAnswers":["2.5,22.5"]}</x:v>
      </x:c>
      <x:c r="N66" s="56" t="str">
        <x:v>corrected</x:v>
      </x:c>
      <x:c r="O66" s="56" t="str">
        <x:v>동마찰력이 작용하며 m이 아래로 움직이는 상황을 보장하려면 m&gt;μM 조건이 필요하다.</x:v>
      </x:c>
      <x:c r="P66" s="56" t="str">
        <x:v>{"page":5,"crop":[35,80,1120,720]}</x:v>
      </x:c>
    </x:row>
    <x:row r="67" ht="44" customHeight="1">
      <x:c r="A67" s="56" t="str">
        <x:v>physics1-basic-total-mechanics</x:v>
      </x:c>
      <x:c r="B67" s="56" t="n">
        <x:v>8</x:v>
      </x:c>
      <x:c r="C67" s="56" t="str">
        <x:v>objective</x:v>
      </x:c>
      <x:c r="D67" s="56" t="str">
        <x:v>binary</x:v>
      </x:c>
      <x:c r="E67" s="56" t="n">
        <x:v>4</x:v>
      </x:c>
      <x:c r="F67" s="56" t="str">
        <x:v>힘과 운동</x:v>
      </x:c>
      <x:c r="G67" s="56" t="str">
        <x:v>애트우드 장치와 용수철저울</x:v>
      </x:c>
      <x:c r="H67" s="56" t="str">
        <x:v>중</x:v>
      </x:c>
      <x:c r="I67" s="56" t="str">
        <x:v>{"display":"③","answerKey":3}</x:v>
      </x:c>
      <x:c r="J67" s="56" t="str">
        <x:v>[{"criterion":"정답 번호와 핵심 판단 근거가 일치함","points":4}]</x:v>
      </x:c>
      <x:c r="K67" s="56" t="str">
        <x:v>{"steps":["A를 잡고 있을 때 1 kg 추 B가 정지하므로 장력은 10 N이다.","놓았을 때 장력은 2m_Am_Bg/(m_A+m_B)=16 N이다.","두 눈금의 합은 10+16=26 N이다."],"formulas":["T_hold=m_Bg","T_move=2m_Am_Bg/(m_A+m_B)"],"commonMistakes":["용수철저울 눈금을 kg으로만 쓰는 것","잡고 있을 때 4 kg 물체 무게를 눈금으로 보는 것"]}</x:v>
      </x:c>
      <x:c r="L67" s="56" t="str">
        <x:v>{"inputMode":"choice","choices":["①","②","③","④","⑤"],"answer":"3","acceptableAnswers":["3","③"]}</x:v>
      </x:c>
      <x:c r="M67" s="56" t="str">
        <x:v>{"prompt":"3 kg과 2 kg을 도르래로 연결했다. 무거운 쪽을 잡고 있을 때와 놓았을 때 장력의 합을 구하시오(g=10).","answer":"44 N","explanation":"잡았을 때 T=20 N, 놓았을 때 T=2×3×2×10/5=24 N이므로 합은 44 N이다.","inputMode":"text","acceptableAnswers":["44","44N"]}</x:v>
      </x:c>
      <x:c r="N67" s="56" t="str">
        <x:v>corrected</x:v>
      </x:c>
      <x:c r="O67" s="56" t="str">
        <x:v>문제의 A, B는 물체 이름과 저울 눈금 기호로 중복 사용된다. 눈금의 단위는 kg이 아니라 N으로 명시하는 것이 정확하다.</x:v>
      </x:c>
      <x:c r="P67" s="56" t="str">
        <x:v>{"page":5,"crop":[35,760,1120,820]}</x:v>
      </x:c>
    </x:row>
    <x:row r="68" ht="44" customHeight="1">
      <x:c r="A68" s="56" t="str">
        <x:v>physics1-basic-total-mechanics</x:v>
      </x:c>
      <x:c r="B68" s="56" t="n">
        <x:v>9</x:v>
      </x:c>
      <x:c r="C68" s="56" t="str">
        <x:v>objective</x:v>
      </x:c>
      <x:c r="D68" s="56" t="str">
        <x:v>binary</x:v>
      </x:c>
      <x:c r="E68" s="56" t="n">
        <x:v>4</x:v>
      </x:c>
      <x:c r="F68" s="56" t="str">
        <x:v>힘과 운동</x:v>
      </x:c>
      <x:c r="G68" s="56" t="str">
        <x:v>힘의 평형과 성분</x:v>
      </x:c>
      <x:c r="H68" s="56" t="str">
        <x:v>중</x:v>
      </x:c>
      <x:c r="I68" s="56" t="str">
        <x:v>{"display":"①","answerKey":1}</x:v>
      </x:c>
      <x:c r="J68" s="56" t="str">
        <x:v>[{"criterion":"정답 번호와 핵심 판단 근거가 일치함","points":4}]</x:v>
      </x:c>
      <x:c r="K68" s="56" t="str">
        <x:v>{"steps":["연직 성분 평형에서 T cos45°=mg=20 N이므로 T=20√2 N이다.","수평 성분 평형에서 F=T sin45°=20 N이다."],"formulas":["ΣF_x=0","ΣF_y=0","T cos45°=mg"],"commonMistakes":["각도가 연직선 기준이라는 점을 놓치는 것","장력과 수평력을 서로 바꾸는 것"]}</x:v>
      </x:c>
      <x:c r="L68" s="56" t="str">
        <x:v>{"inputMode":"choice","choices":["①","②","③","④","⑤"],"answer":"1","acceptableAnswers":["1","①"]}</x:v>
      </x:c>
      <x:c r="M68" s="56" t="str">
        <x:v>{"prompt":"질량 3 kg 물체가 연직선과 약 37°를 이루며 평형이다(cos37=0.8, sin37=0.6). 수평힘과 장력을 구하시오(g=10).","answer":"22.5 N, 37.5 N","explanation":"T cos37=30에서 T=37.5 N, F=T sin37=22.5 N이다.","inputMode":"text","acceptableAnswers":["22.5,37.5"]}</x:v>
      </x:c>
      <x:c r="N68" s="56" t="str">
        <x:v>verified</x:v>
      </x:c>
      <x:c r="O68" s="56" t="str"/>
      <x:c r="P68" s="56" t="str">
        <x:v>{"page":6,"crop":[35,80,1120,720]}</x:v>
      </x:c>
    </x:row>
    <x:row r="69" ht="44" customHeight="1">
      <x:c r="A69" s="56" t="str">
        <x:v>physics1-basic-total-mechanics</x:v>
      </x:c>
      <x:c r="B69" s="56" t="n">
        <x:v>10</x:v>
      </x:c>
      <x:c r="C69" s="56" t="str">
        <x:v>objective</x:v>
      </x:c>
      <x:c r="D69" s="56" t="str">
        <x:v>binary</x:v>
      </x:c>
      <x:c r="E69" s="56" t="n">
        <x:v>4</x:v>
      </x:c>
      <x:c r="F69" s="56" t="str">
        <x:v>운동량</x:v>
      </x:c>
      <x:c r="G69" s="56" t="str">
        <x:v>분열과 운동량 보존</x:v>
      </x:c>
      <x:c r="H69" s="56" t="str">
        <x:v>중</x:v>
      </x:c>
      <x:c r="I69" s="56" t="str">
        <x:v>{"display":"③","answerKey":3}</x:v>
      </x:c>
      <x:c r="J69" s="56" t="str">
        <x:v>[{"criterion":"정답 번호와 핵심 판단 근거가 일치함","points":4}]</x:v>
      </x:c>
      <x:c r="K69" s="56" t="str">
        <x:v>{"steps":["분열 전 운동량은 4×5=20 kg·m/s이다.","분열 후 두 조각은 각각 2 kg이고 A는 -2 m/s이므로 20=2(-2)+2v이다.","v=12 m/s이다."],"formulas":["Σp_before=Σp_after"],"commonMistakes":["뒤쪽 속도의 부호를 양수로 넣는 것","분열 후 각 파편 질량을 4 kg으로 두는 것"]}</x:v>
      </x:c>
      <x:c r="L69" s="56" t="str">
        <x:v>{"inputMode":"choice","choices":["①","②","③","④","⑤"],"answer":"3","acceptableAnswers":["3","③"]}</x:v>
      </x:c>
      <x:c r="M69" s="56" t="str">
        <x:v>{"prompt":"6 kg 물체가 4 m/s로 가다가 같은 질량 두 조각으로 분열했다. 한 조각이 뒤로 2 m/s이면 다른 조각의 속력은?","answer":"10 m/s","explanation":"24=3(-2)+3v에서 v=10 m/s이다.","inputMode":"text","acceptableAnswers":["10","10m/s"]}</x:v>
      </x:c>
      <x:c r="N69" s="56" t="str">
        <x:v>verified</x:v>
      </x:c>
      <x:c r="O69" s="56" t="str"/>
      <x:c r="P69" s="56" t="str">
        <x:v>{"page":6,"crop":[35,760,1120,820]}</x:v>
      </x:c>
    </x:row>
    <x:row r="70" ht="44" customHeight="1">
      <x:c r="A70" s="56" t="str">
        <x:v>physics1-basic-total-mechanics</x:v>
      </x:c>
      <x:c r="B70" s="56" t="n">
        <x:v>11</x:v>
      </x:c>
      <x:c r="C70" s="56" t="str">
        <x:v>objective</x:v>
      </x:c>
      <x:c r="D70" s="56" t="str">
        <x:v>binary</x:v>
      </x:c>
      <x:c r="E70" s="56" t="n">
        <x:v>4</x:v>
      </x:c>
      <x:c r="F70" s="56" t="str">
        <x:v>진동과 에너지</x:v>
      </x:c>
      <x:c r="G70" s="56" t="str">
        <x:v>용수철 직렬·병렬</x:v>
      </x:c>
      <x:c r="H70" s="56" t="str">
        <x:v>중</x:v>
      </x:c>
      <x:c r="I70" s="56" t="str">
        <x:v>{"display":"④","answerKey":4}</x:v>
      </x:c>
      <x:c r="J70" s="56" t="str">
        <x:v>[{"criterion":"정답 번호와 핵심 판단 근거가 일치함","points":4}]</x:v>
      </x:c>
      <x:c r="K70" s="56" t="str">
        <x:v>{"steps":["위의 두 용수철은 병렬이므로 같은 길이 x만큼 늘고, 아래 한 용수철은 전체 힘을 받아 2x만큼 늘어난다.","전체 늘어난 길이 3x=3 cm이므로 x=1 cm, 아래 용수철은 2 cm 늘어난다.","한 용수철을 2 cm 늘리는 힘은 2 kg 추의 무게이므로 정답은 2 kg이다."],"formulas":["병렬: k_eq=2k","직렬 전체: 1/k_eq=1/(2k)+1/k","k_eq=2k/3"],"commonMistakes":["세 용수철이 모두 1 cm씩 늘어난다고 보는 것","질량과 무게 단위를 혼동하는 것"]}</x:v>
      </x:c>
      <x:c r="L70" s="56" t="str">
        <x:v>{"inputMode":"choice","choices":["①","②","③","④","⑤"],"answer":"4","acceptableAnswers":["4","④"]}</x:v>
      </x:c>
      <x:c r="M70" s="56" t="str">
        <x:v>{"prompt":"같은 배치에서 전체 늘어난 길이가 4.5 cm이면 매단 물체의 질량은?","answer":"3 kg","explanation":"전체 늘어남은 한 용수철 기준 늘어남의 1.5배이다. 4.5 cm는 3 kg에 해당한다.","inputMode":"text","acceptableAnswers":["3","3kg"]}</x:v>
      </x:c>
      <x:c r="N70" s="56" t="str">
        <x:v>verified</x:v>
      </x:c>
      <x:c r="O70" s="56" t="str"/>
      <x:c r="P70" s="56" t="str">
        <x:v>{"page":7,"crop":[35,80,1120,720]}</x:v>
      </x:c>
    </x:row>
    <x:row r="71" ht="44" customHeight="1">
      <x:c r="A71" s="56" t="str">
        <x:v>physics1-basic-total-mechanics</x:v>
      </x:c>
      <x:c r="B71" s="56" t="n">
        <x:v>12</x:v>
      </x:c>
      <x:c r="C71" s="56" t="str">
        <x:v>objective</x:v>
      </x:c>
      <x:c r="D71" s="56" t="str">
        <x:v>binary</x:v>
      </x:c>
      <x:c r="E71" s="56" t="n">
        <x:v>4</x:v>
      </x:c>
      <x:c r="F71" s="56" t="str">
        <x:v>역학적 에너지</x:v>
      </x:c>
      <x:c r="G71" s="56" t="str">
        <x:v>마찰이 한 일</x:v>
      </x:c>
      <x:c r="H71" s="56" t="str">
        <x:v>중</x:v>
      </x:c>
      <x:c r="I71" s="56" t="str">
        <x:v>{"display":"④","answerKey":4}</x:v>
      </x:c>
      <x:c r="J71" s="56" t="str">
        <x:v>[{"criterion":"정답 번호와 핵심 판단 근거가 일치함","points":4}]</x:v>
      </x:c>
      <x:c r="K71" s="56" t="str">
        <x:v>{"steps":["빗면은 마찰이 없으므로 A의 위치에너지 mgh가 B에서 운동에너지로 바뀐다.","수평면에서 마찰이 한 일 μmgs가 이 에너지를 모두 소모한다.","μmgs=mgh에서 s=h/μ이다."],"formulas":["mgh=μmgs","s=h/μ"],"commonMistakes":["마찰력에 빗면 각도를 포함하는 것","g가 소거됨을 놓치는 것"]}</x:v>
      </x:c>
      <x:c r="L71" s="56" t="str">
        <x:v>{"inputMode":"choice","choices":["①","②","③","④","⑤"],"answer":"4","acceptableAnswers":["4","④"]}</x:v>
      </x:c>
      <x:c r="M71" s="56" t="str">
        <x:v>{"prompt":"높이 6 m에서 내려온 물체가 운동마찰계수 0.3인 수평면에서 멈춘다. 이동 거리는?","answer":"20 m","explanation":"s=h/μ=6/0.3=20 m이다.","inputMode":"text","acceptableAnswers":["20","20m"]}</x:v>
      </x:c>
      <x:c r="N71" s="56" t="str">
        <x:v>verified</x:v>
      </x:c>
      <x:c r="O71" s="56" t="str"/>
      <x:c r="P71" s="56" t="str">
        <x:v>{"page":7,"crop":[35,760,1120,820]}</x:v>
      </x:c>
    </x:row>
    <x:row r="72" ht="44" customHeight="1">
      <x:c r="A72" s="56" t="str">
        <x:v>physics1-basic-total-mechanics</x:v>
      </x:c>
      <x:c r="B72" s="56" t="n">
        <x:v>13</x:v>
      </x:c>
      <x:c r="C72" s="56" t="str">
        <x:v>objective</x:v>
      </x:c>
      <x:c r="D72" s="56" t="str">
        <x:v>binary</x:v>
      </x:c>
      <x:c r="E72" s="56" t="n">
        <x:v>4</x:v>
      </x:c>
      <x:c r="F72" s="56" t="str">
        <x:v>진동과 에너지</x:v>
      </x:c>
      <x:c r="G72" s="56" t="str">
        <x:v>단진동 에너지</x:v>
      </x:c>
      <x:c r="H72" s="56" t="str">
        <x:v>중</x:v>
      </x:c>
      <x:c r="I72" s="56" t="str">
        <x:v>{"display":"④","answerKey":4}</x:v>
      </x:c>
      <x:c r="J72" s="56" t="str">
        <x:v>[{"criterion":"정답 번호와 핵심 판단 근거가 일치함","points":4}]</x:v>
      </x:c>
      <x:c r="K72" s="56" t="str">
        <x:v>{"steps":["진폭 A에서 전체 에너지는 (1/2)kA²이다.","x=A/4에서 탄성에너지는 (1/2)k(A/4)²이다.","나머지가 운동에너지이므로 v=A√(15k/(16m))이다."],"formulas":["(1/2)kA²=(1/2)kx²+(1/2)mv²"],"commonMistakes":["평형 위치에서의 속도를 그대로 쓰는 것","A/4를 제곱하지 않는 것"]}</x:v>
      </x:c>
      <x:c r="L72" s="56" t="str">
        <x:v>{"inputMode":"choice","choices":["①","②","③","④","⑤"],"answer":"4","acceptableAnswers":["4","④"]}</x:v>
      </x:c>
      <x:c r="M72" s="56" t="str">
        <x:v>{"prompt":"진폭 A인 단진동에서 x=A/2일 때 속력은?","answer":"A√(3k/(4m))","explanation":"에너지 보존으로 v²=(k/m)(A²-A²/4)=3kA²/(4m)이다.","inputMode":"text","acceptableAnswers":["A√(3k/(4m))"]}</x:v>
      </x:c>
      <x:c r="N72" s="56" t="str">
        <x:v>verified</x:v>
      </x:c>
      <x:c r="O72" s="56" t="str"/>
      <x:c r="P72" s="56" t="str">
        <x:v>{"page":8,"crop":[35,80,1120,720]}</x:v>
      </x:c>
    </x:row>
    <x:row r="73" ht="44" customHeight="1">
      <x:c r="A73" s="56" t="str">
        <x:v>physics1-basic-total-mechanics</x:v>
      </x:c>
      <x:c r="B73" s="56" t="n">
        <x:v>14</x:v>
      </x:c>
      <x:c r="C73" s="56" t="str">
        <x:v>objective</x:v>
      </x:c>
      <x:c r="D73" s="56" t="str">
        <x:v>binary</x:v>
      </x:c>
      <x:c r="E73" s="56" t="n">
        <x:v>4</x:v>
      </x:c>
      <x:c r="F73" s="56" t="str">
        <x:v>일과 에너지</x:v>
      </x:c>
      <x:c r="G73" s="56" t="str">
        <x:v>일률</x:v>
      </x:c>
      <x:c r="H73" s="56" t="str">
        <x:v>중</x:v>
      </x:c>
      <x:c r="I73" s="56" t="str">
        <x:v>{"display":"⑤","answerKey":5}</x:v>
      </x:c>
      <x:c r="J73" s="56" t="str">
        <x:v>[{"criterion":"정답 번호와 핵심 판단 근거가 일치함","points":4}]</x:v>
      </x:c>
      <x:c r="K73" s="56" t="str">
        <x:v>{"steps":["한 물체를 5 m 올리는 데 필요한 에너지는 10×10×5=500 J이다.","4초에 4개이므로 초당 1개를 올린다.","일률은 500 J/s=500 W이다."],"formulas":["P=W/t","W=mgh"],"commonMistakes":["경사면 길이 20 m를 높이로 사용하는 것","4개 에너지를 계산하고 다시 4초로 나누지 않는 것"]}</x:v>
      </x:c>
      <x:c r="L73" s="56" t="str">
        <x:v>{"inputMode":"choice","choices":["①","②","③","④","⑤"],"answer":"5","acceptableAnswers":["5","⑤"]}</x:v>
      </x:c>
      <x:c r="M73" s="56" t="str">
        <x:v>{"prompt":"5 kg 물체를 높이 4 m까지 6초에 3개 올린다(g=10). 일률은?","answer":"100 W","explanation":"한 개 200 J, 초당 0.5개이므로 100 W이다.","inputMode":"text","acceptableAnswers":["100","100W"]}</x:v>
      </x:c>
      <x:c r="N73" s="56" t="str">
        <x:v>verified</x:v>
      </x:c>
      <x:c r="O73" s="56" t="str"/>
      <x:c r="P73" s="56" t="str">
        <x:v>{"page":8,"crop":[35,760,1120,820]}</x:v>
      </x:c>
    </x:row>
    <x:row r="74" ht="44" customHeight="1">
      <x:c r="A74" s="56" t="str">
        <x:v>physics1-basic-total-mechanics</x:v>
      </x:c>
      <x:c r="B74" s="56" t="n">
        <x:v>15</x:v>
      </x:c>
      <x:c r="C74" s="56" t="str">
        <x:v>objective</x:v>
      </x:c>
      <x:c r="D74" s="56" t="str">
        <x:v>binary</x:v>
      </x:c>
      <x:c r="E74" s="56" t="n">
        <x:v>4</x:v>
      </x:c>
      <x:c r="F74" s="56" t="str">
        <x:v>힘과 운동</x:v>
      </x:c>
      <x:c r="G74" s="56" t="str">
        <x:v>연결 물체의 가속도</x:v>
      </x:c>
      <x:c r="H74" s="56" t="str">
        <x:v>중</x:v>
      </x:c>
      <x:c r="I74" s="56" t="str">
        <x:v>{"display":"③","answerKey":3}</x:v>
      </x:c>
      <x:c r="J74" s="56" t="str">
        <x:v>[{"criterion":"정답 번호와 핵심 판단 근거가 일치함","points":4}]</x:v>
      </x:c>
      <x:c r="K74" s="56" t="str">
        <x:v>{"steps":["(가)에서 두 질량이 모두 m이므로 가속도는 g/2이다.","(나)에서 가속도는 (M-m)g/(M+m)이다.","이를 g/2와 같게 두면 2(M-m)=M+m, 따라서 M=3m이다."],"formulas":["a=(m_hanging)/(m_total)g","a_Atwood=(M-m)g/(M+m)"],"commonMistakes":["(나)의 두 물체 질량 합을 M으로만 두는 것","가속도 방향과 크기를 혼동하는 것"]}</x:v>
      </x:c>
      <x:c r="L74" s="56" t="str">
        <x:v>{"inputMode":"choice","choices":["①","②","③","④","⑤"],"answer":"3","acceptableAnswers":["3","③"]}</x:v>
      </x:c>
      <x:c r="M74" s="56" t="str">
        <x:v>{"prompt":"질량 m인 수평 물체와 질량 m인 추의 가속도와 같은 가속도를 만드는 애트우드 장치에서 다른 추의 질량은?","answer":"3m","explanation":"(M-m)/(M+m)=1/2를 풀면 M=3m이다.","inputMode":"text","acceptableAnswers":["3m","3"]}</x:v>
      </x:c>
      <x:c r="N74" s="56" t="str">
        <x:v>verified</x:v>
      </x:c>
      <x:c r="O74" s="56" t="str"/>
      <x:c r="P74" s="56" t="str">
        <x:v>{"page":9,"crop":[35,80,1120,720]}</x:v>
      </x:c>
    </x:row>
    <x:row r="75" ht="44" customHeight="1">
      <x:c r="A75" s="56" t="str">
        <x:v>physics1-basic-total-mechanics</x:v>
      </x:c>
      <x:c r="B75" s="56" t="n">
        <x:v>16</x:v>
      </x:c>
      <x:c r="C75" s="56" t="str">
        <x:v>objective</x:v>
      </x:c>
      <x:c r="D75" s="56" t="str">
        <x:v>binary</x:v>
      </x:c>
      <x:c r="E75" s="56" t="n">
        <x:v>4</x:v>
      </x:c>
      <x:c r="F75" s="56" t="str">
        <x:v>일과 에너지</x:v>
      </x:c>
      <x:c r="G75" s="56" t="str">
        <x:v>힘·마찰·수직항력의 일</x:v>
      </x:c>
      <x:c r="H75" s="56" t="str">
        <x:v>중</x:v>
      </x:c>
      <x:c r="I75" s="56" t="str">
        <x:v>{"display":"②","answerKey":2}</x:v>
      </x:c>
      <x:c r="J75" s="56" t="str">
        <x:v>[{"criterion":"정답 번호와 핵심 판단 근거가 일치함","points":4}]</x:v>
      </x:c>
      <x:c r="K75" s="56" t="str">
        <x:v>{"steps":["수직항력은 N=mg-F sin45°=100-50√2 N으로 100 N이 아니다.","당기는 힘의 일은 Fs cos45°=500√2 J이다.","등속이므로 수평 마찰력은 F cos45°=50√2 N이고, 알짜일은 0 J이다."],"formulas":["N=mg-F sinθ","W=Fs cosθ","W_net=ΔK"],"commonMistakes":["수직항력을 항상 mg로 두는 것","당기는 힘의 전체 100 N이 모두 마찰과 평형이라고 보는 것"]}</x:v>
      </x:c>
      <x:c r="L75" s="56" t="str">
        <x:v>{"inputMode":"choice","choices":["①","②","③","④","⑤"],"answer":"2","acceptableAnswers":["2","②"]}</x:v>
      </x:c>
      <x:c r="M75" s="56" t="str">
        <x:v>{"prompt":"수평면에서 50 N의 힘을 60° 위로 기울여 4 m 끌었다. 당기는 힘이 한 일은?","answer":"100 J","explanation":"W=50×4×cos60°=100 J이다.","inputMode":"text","acceptableAnswers":["100","100J"]}</x:v>
      </x:c>
      <x:c r="N75" s="56" t="str">
        <x:v>verified</x:v>
      </x:c>
      <x:c r="O75" s="56" t="str"/>
      <x:c r="P75" s="56" t="str">
        <x:v>{"page":9,"crop":[35,760,1120,820]}</x:v>
      </x:c>
    </x:row>
    <x:row r="76" ht="44" customHeight="1">
      <x:c r="A76" s="56" t="str">
        <x:v>physics1-basic-total-mechanics</x:v>
      </x:c>
      <x:c r="B76" s="56" t="n">
        <x:v>17</x:v>
      </x:c>
      <x:c r="C76" s="56" t="str">
        <x:v>objective</x:v>
      </x:c>
      <x:c r="D76" s="56" t="str">
        <x:v>binary</x:v>
      </x:c>
      <x:c r="E76" s="56" t="n">
        <x:v>4</x:v>
      </x:c>
      <x:c r="F76" s="56" t="str">
        <x:v>역학적 에너지</x:v>
      </x:c>
      <x:c r="G76" s="56" t="str">
        <x:v>용수철 에너지 보존</x:v>
      </x:c>
      <x:c r="H76" s="56" t="str">
        <x:v>중</x:v>
      </x:c>
      <x:c r="I76" s="56" t="str">
        <x:v>{"display":"③","answerKey":3}</x:v>
      </x:c>
      <x:c r="J76" s="56" t="str">
        <x:v>[{"criterion":"정답 번호와 핵심 판단 근거가 일치함","points":4}]</x:v>
      </x:c>
      <x:c r="K76" s="56" t="str">
        <x:v>{"steps":["초기 탄성에너지는 (1/2)×200×2²=400 J이다.","이 에너지가 운동에너지로 바뀌면 v=20 m/s이다.","최고점에서 mgh=400이므로 h=20 m이다. 10 m라는 ③이 틀리다.","마찰이 300 J의 일을 하면 남은 100 J로 5 m까지 올라간다."],"formulas":["U_s=(1/2)kx²","K=(1/2)mv²","mgh=E"],"commonMistakes":["질량 2 kg을 넣지 않아 높이를 40 m로 구하는 것","용수철 압축량 2 m를 제곱하지 않는 것"]}</x:v>
      </x:c>
      <x:c r="L76" s="56" t="str">
        <x:v>{"inputMode":"choice","choices":["①","②","③","④","⑤"],"answer":"3","acceptableAnswers":["3","③"]}</x:v>
      </x:c>
      <x:c r="M76" s="56" t="str">
        <x:v>{"prompt":"k=100 N/m 용수철을 2 m 압축해 2 kg 물체를 발사한다(g=10). 마찰이 없을 때 최대 높이는?","answer":"10 m","explanation":"탄성에너지 200 J가 mgh가 되어 h=200/(20)=10 m이다.","inputMode":"text","acceptableAnswers":["10","10m"]}</x:v>
      </x:c>
      <x:c r="N76" s="56" t="str">
        <x:v>verified</x:v>
      </x:c>
      <x:c r="O76" s="56" t="str"/>
      <x:c r="P76" s="56" t="str">
        <x:v>{"page":10,"crop":[35,80,1120,720]}</x:v>
      </x:c>
    </x:row>
    <x:row r="77" ht="44" customHeight="1">
      <x:c r="A77" s="56" t="str">
        <x:v>physics1-basic-total-mechanics</x:v>
      </x:c>
      <x:c r="B77" s="56" t="n">
        <x:v>18</x:v>
      </x:c>
      <x:c r="C77" s="56" t="str">
        <x:v>objective</x:v>
      </x:c>
      <x:c r="D77" s="56" t="str">
        <x:v>binary</x:v>
      </x:c>
      <x:c r="E77" s="56" t="n">
        <x:v>4</x:v>
      </x:c>
      <x:c r="F77" s="56" t="str">
        <x:v>운동량</x:v>
      </x:c>
      <x:c r="G77" s="56" t="str">
        <x:v>충격량과 충격력</x:v>
      </x:c>
      <x:c r="H77" s="56" t="str">
        <x:v>중</x:v>
      </x:c>
      <x:c r="I77" s="56" t="str">
        <x:v>{"display":"②","answerKey":2}</x:v>
      </x:c>
      <x:c r="J77" s="56" t="str">
        <x:v>[{"criterion":"정답 번호와 핵심 판단 근거가 일치함","points":4}]</x:v>
      </x:c>
      <x:c r="K77" s="56" t="str">
        <x:v>{"steps":["두 자동차의 처음·나중 운동량이 같으므로 충격량은 같다. 따라서 힘-시간 그래프의 넓이 S_A와 S_B는 같다.","콘크리트 벽은 충돌시간이 짧고 힘의 최대값이 큰 A 그래프에 해당한다.","충격량은 같아도 순간 힘이나 평균 힘은 서로 다르다. 따라서 ㄴ만 옳다."],"formulas":["I=Δp=∫Fdt","F_avg=I/Δt"],"commonMistakes":["충격량과 충격력을 같은 물리량으로 보는 것","높이가 낮은 그래프가 콘크리트라고 판단하는 것"]}</x:v>
      </x:c>
      <x:c r="L77" s="56" t="str">
        <x:v>{"inputMode":"choice","choices":["①","②","③","④","⑤"],"answer":"2","acceptableAnswers":["2","②"]}</x:v>
      </x:c>
      <x:c r="M77" s="56" t="str">
        <x:v>{"prompt":"같은 속도의 공이 단단한 벽과 쿠션에 부딪혀 정지한다. 두 충격량과 평균 힘을 비교하시오.","answer":"충격량은 같고, 충돌시간이 짧은 단단한 벽의 평균 힘이 더 크다.","explanation":"운동량 변화는 같지만 F_avg=Δp/Δt이므로 시간이 짧을수록 평균 힘이 크다.","inputMode":"text","acceptableAnswers":["충격량같음평균힘벽큼"]}</x:v>
      </x:c>
      <x:c r="N77" s="56" t="str">
        <x:v>verified</x:v>
      </x:c>
      <x:c r="O77" s="56" t="str"/>
      <x:c r="P77" s="56" t="str">
        <x:v>{"page":10,"crop":[35,760,1120,820]}</x:v>
      </x:c>
    </x:row>
    <x:row r="78" ht="44" customHeight="1">
      <x:c r="A78" s="56" t="str">
        <x:v>physics1-basic-total-mechanics</x:v>
      </x:c>
      <x:c r="B78" s="56" t="n">
        <x:v>19</x:v>
      </x:c>
      <x:c r="C78" s="56" t="str">
        <x:v>objective</x:v>
      </x:c>
      <x:c r="D78" s="56" t="str">
        <x:v>binary</x:v>
      </x:c>
      <x:c r="E78" s="56" t="n">
        <x:v>4</x:v>
      </x:c>
      <x:c r="F78" s="56" t="str">
        <x:v>열역학</x:v>
      </x:c>
      <x:c r="G78" s="56" t="str">
        <x:v>단열 팽창</x:v>
      </x:c>
      <x:c r="H78" s="56" t="str">
        <x:v>중</x:v>
      </x:c>
      <x:c r="I78" s="56" t="str">
        <x:v>{"display":"②","answerKey":2}</x:v>
      </x:c>
      <x:c r="J78" s="56" t="str">
        <x:v>[{"criterion":"정답 번호와 핵심 판단 근거가 일치함","points":4}]</x:v>
      </x:c>
      <x:c r="K78" s="56" t="str">
        <x:v>{"steps":["단열 과정이므로 Q=0이다.","기체가 팽창하며 외부에 일을 하므로 내부 에너지가 감소한다.","이상기체의 내부 에너지가 줄면 온도와 분자 평균 속력이 감소한다. 따라서 ②가 옳다."],"formulas":["ΔU=Q-W","단열: Q=0","평균 운동에너지∝T"],"commonMistakes":["팽창을 외부가 기체에 한 일로 보는 것","단열을 온도 일정으로 오해하는 것"]}</x:v>
      </x:c>
      <x:c r="L78" s="56" t="str">
        <x:v>{"inputMode":"choice","choices":["①","②","③","④","⑤"],"answer":"2","acceptableAnswers":["2","②"]}</x:v>
      </x:c>
      <x:c r="M78" s="56" t="str">
        <x:v>{"prompt":"이상기체를 단열 압축하면 온도와 분자 평균 속력은 어떻게 되는가?","answer":"둘 다 증가한다.","explanation":"외부가 기체에 일을 하여 내부 에너지와 온도가 증가한다.","inputMode":"text","acceptableAnswers":["증가"]}</x:v>
      </x:c>
      <x:c r="N78" s="56" t="str">
        <x:v>corrected</x:v>
      </x:c>
      <x:c r="O78" s="56" t="str">
        <x:v>공식 해설의 “내부 에너지는 온도가 증가하므로 증가”는 단열 팽창과 모순된다. 내부 에너지와 온도는 감소한다.</x:v>
      </x:c>
      <x:c r="P78" s="56" t="str">
        <x:v>{"page":11,"crop":[35,80,1120,720]}</x:v>
      </x:c>
    </x:row>
    <x:row r="79" ht="44" customHeight="1">
      <x:c r="A79" s="56" t="str">
        <x:v>physics1-basic-total-mechanics</x:v>
      </x:c>
      <x:c r="B79" s="56" t="n">
        <x:v>20</x:v>
      </x:c>
      <x:c r="C79" s="56" t="str">
        <x:v>objective</x:v>
      </x:c>
      <x:c r="D79" s="56" t="str">
        <x:v>binary</x:v>
      </x:c>
      <x:c r="E79" s="56" t="n">
        <x:v>4</x:v>
      </x:c>
      <x:c r="F79" s="56" t="str">
        <x:v>역학적 에너지</x:v>
      </x:c>
      <x:c r="G79" s="56" t="str">
        <x:v>롤러코스터 에너지 보존</x:v>
      </x:c>
      <x:c r="H79" s="56" t="str">
        <x:v>중</x:v>
      </x:c>
      <x:c r="I79" s="56" t="str">
        <x:v>{"display":"②","answerKey":2}</x:v>
      </x:c>
      <x:c r="J79" s="56" t="str">
        <x:v>[{"criterion":"정답 번호와 핵심 판단 근거가 일치함","points":4}]</x:v>
      </x:c>
      <x:c r="K79" s="56" t="str">
        <x:v>{"steps":["A에서의 전체 에너지를 B, C에서 각각 보존한다.","B는 A보다 10 m 낮아 v_B²=20²+2g×10=600이다.","C는 A보다 10 m 높아 v_C²=20²-2g×10=200이다.","따라서 v_B:v_C=√600:√200=√3:1이다."],"formulas":["(1/2)mv²+mgh=constant"],"commonMistakes":["높이가 낮아진 만큼 속도를 선형으로 더하는 것","속력의 제곱을 비교해야 함을 놓치는 것"]}</x:v>
      </x:c>
      <x:c r="L79" s="56" t="str">
        <x:v>{"inputMode":"choice","choices":["①","②","③","④","⑤"],"answer":"2","acceptableAnswers":["2","②"]}</x:v>
      </x:c>
      <x:c r="M79" s="56" t="str">
        <x:v>{"prompt":"높이 15 m에서 10 m/s인 물체가 마찰 없이 높이 5 m 지점을 지난다(g=10). 속력은?","answer":"10√3 m/s","explanation":"v²=100+2×10×10=300이므로 v=10√3 m/s이다.","inputMode":"text","acceptableAnswers":["10√3","17.3"]}</x:v>
      </x:c>
      <x:c r="N79" s="56" t="str">
        <x:v>verified</x:v>
      </x:c>
      <x:c r="O79" s="56" t="str"/>
      <x:c r="P79" s="56" t="str">
        <x:v>{"page":11,"crop":[35,760,1120,820]}</x:v>
      </x:c>
    </x:row>
    <x:row r="80" ht="44" customHeight="1">
      <x:c r="A80" s="56" t="str">
        <x:v>physics1-basic-total-mechanics</x:v>
      </x:c>
      <x:c r="B80" s="56" t="n">
        <x:v>21</x:v>
      </x:c>
      <x:c r="C80" s="56" t="str">
        <x:v>subjective</x:v>
      </x:c>
      <x:c r="D80" s="56" t="str">
        <x:v>points</x:v>
      </x:c>
      <x:c r="E80" s="56" t="n">
        <x:v>4</x:v>
      </x:c>
      <x:c r="F80" s="56" t="str">
        <x:v>역학적 에너지</x:v>
      </x:c>
      <x:c r="G80" s="56" t="str">
        <x:v>두 지점을 이용한 에너지 보존</x:v>
      </x:c>
      <x:c r="H80" s="56" t="str">
        <x:v>중</x:v>
      </x:c>
      <x:c r="I80" s="56" t="str">
        <x:v>{"display":"h_C=7h/3","answerKey":null}</x:v>
      </x:c>
      <x:c r="J80" s="56" t="str">
        <x:v>[{"criterion":"A-B 에너지 보존식","points":1},{"criterion":"v²와 gh의 관계 도출","points":1},{"criterion":"B-C 에너지 보존식","points":1},{"criterion":"h_C=7h/3","points":1}]</x:v>
      </x:c>
      <x:c r="K80" s="56" t="str">
        <x:v>{"steps":["A와 B의 에너지 보존식에서 mgh+2mv²=2mgh+(1/2)mv²이다.","따라서 (3/2)mv²=mgh이다.","B와 C 사이에서 2mgh+(1/2)mv²=mgh_C이고, (1/2)mv²=(1/3)mgh이므로 h_C=7h/3이다."],"formulas":["E=K+U","mgh+(1/2)m(2v)²=2mgh+(1/2)mv²"],"commonMistakes":["속력 2v의 운동에너지를 2배로만 계산하는 것","B에서의 높이 2h를 누락하는 것"]}</x:v>
      </x:c>
      <x:c r="L80" s="56" t="str">
        <x:v>{"inputMode":"text","answer":"h_C=7h/3","acceptableAnswers":[]}</x:v>
      </x:c>
      <x:c r="M80" s="56" t="str">
        <x:v>{"prompt":"높이 h에서 속력 3v인 수레가 높이 3h에서 속력 v가 되었다. 이후 정지하는 최고점 높이를 구하시오.","answer":"13h/4","explanation":"A=B에서 v²=gh/2, B의 에너지는 3mgh+(1/4)mgh=13mgh/4이다.","inputMode":"text","acceptableAnswers":["13h/4","3.25h"]}</x:v>
      </x:c>
      <x:c r="N80" s="56" t="str">
        <x:v>verified</x:v>
      </x:c>
      <x:c r="O80" s="56" t="str"/>
      <x:c r="P80" s="56" t="str">
        <x:v>{"page":11,"crop":[35,80,1120,1500]}</x:v>
      </x:c>
    </x:row>
    <x:row r="81" ht="44" customHeight="1">
      <x:c r="A81" s="56" t="str">
        <x:v>physics1-basic-total-mechanics</x:v>
      </x:c>
      <x:c r="B81" s="56" t="n">
        <x:v>22</x:v>
      </x:c>
      <x:c r="C81" s="56" t="str">
        <x:v>subjective</x:v>
      </x:c>
      <x:c r="D81" s="56" t="str">
        <x:v>points</x:v>
      </x:c>
      <x:c r="E81" s="56" t="n">
        <x:v>4</x:v>
      </x:c>
      <x:c r="F81" s="56" t="str">
        <x:v>힘과 운동</x:v>
      </x:c>
      <x:c r="G81" s="56" t="str">
        <x:v>세 물체 연결계</x:v>
      </x:c>
      <x:c r="H81" s="56" t="str">
        <x:v>중</x:v>
      </x:c>
      <x:c r="I81" s="56" t="str">
        <x:v>{"display":"a=(m₃-m₁)g/(m₁+m₂+m₃), T₁=m₁(m₂+2m₃)g/(m₁+m₂+m₃)","answerKey":null}</x:v>
      </x:c>
      <x:c r="J81" s="56" t="str">
        <x:v>[{"criterion":"세 물체 운동방정식","points":1},{"criterion":"가속도 식","points":1},{"criterion":"왼쪽 장력 식","points":1},{"criterion":"통분된 최종식","points":1}]</x:v>
      </x:c>
      <x:c r="K81" s="56" t="str">
        <x:v>{"steps":["m₃은 아래, m₂는 오른쪽, m₁은 위로 같은 크기 a로 움직인다.","세 물체의 운동방정식을 더하면 (m₃-m₁)g=(m₁+m₂+m₃)a이다.","왼쪽 추에 대해 T₁-m₁g=m₁a이므로 T₁=m₁(g+a)이다.","a를 대입해 통분하면 T₁=m₁(m₂+2m₃)g/(m₁+m₂+m₃)이다."],"formulas":["m₃g-T₂=m₃a","T₂-T₁=m₂a","T₁-m₁g=m₁a"],"commonMistakes":["두 줄의 장력을 같다고 두는 것","m₁의 가속도 방향을 아래로 잡는 것"]}</x:v>
      </x:c>
      <x:c r="L81" s="56" t="str">
        <x:v>{"inputMode":"text","answer":"a=(m₃-m₁)g/(m₁+m₂+m₃), T₁=m₁(m₂+2m₃)g/(m₁+m₂+m₃)","acceptableAnswers":[]}</x:v>
      </x:c>
      <x:c r="M81" s="56" t="str">
        <x:v>{"prompt":"m₁=2 kg, m₂=3 kg, m₃=5 kg, g=10일 때 가속도와 왼쪽 장력을 구하시오.","answer":"3 m/s², 26 N","explanation":"a=(5-2)×10/10=3 m/s², T₁=2(10+3)=26 N이다.","inputMode":"text","acceptableAnswers":["3,26"]}</x:v>
      </x:c>
      <x:c r="N81" s="56" t="str">
        <x:v>verified</x:v>
      </x:c>
      <x:c r="O81" s="56" t="str"/>
      <x:c r="P81" s="56" t="str">
        <x:v>{"page":12,"crop":[35,80,1120,1500]}</x:v>
      </x:c>
    </x:row>
    <x:row r="82" ht="44" customHeight="1">
      <x:c r="A82" s="56" t="str">
        <x:v>physics1-basic-total-mechanics</x:v>
      </x:c>
      <x:c r="B82" s="56" t="n">
        <x:v>23</x:v>
      </x:c>
      <x:c r="C82" s="56" t="str">
        <x:v>subjective</x:v>
      </x:c>
      <x:c r="D82" s="56" t="str">
        <x:v>points</x:v>
      </x:c>
      <x:c r="E82" s="56" t="n">
        <x:v>4</x:v>
      </x:c>
      <x:c r="F82" s="56" t="str">
        <x:v>운동량</x:v>
      </x:c>
      <x:c r="G82" s="56" t="str">
        <x:v>충돌·반발계수·에너지 손실</x:v>
      </x:c>
      <x:c r="H82" s="56" t="str">
        <x:v>중</x:v>
      </x:c>
      <x:c r="I82" s="56" t="str">
        <x:v>{"display":"v_B=1 m/s, e=5/16, Q=154 J","answerKey":null}</x:v>
      </x:c>
      <x:c r="J82" s="56" t="str">
        <x:v>[{"criterion":"운동량 보존으로 v_B","points":1},{"criterion":"반발계수","points":1},{"criterion":"충돌 전후 운동에너지","points":1},{"criterion":"Q=154 J","points":1}]</x:v>
      </x:c>
      <x:c r="K82" s="56" t="str">
        <x:v>{"steps":["오른쪽을 +로 두면 충돌 전 운동량은 2×10+4×(-6)=-4이다.","충돌 후 운동량은 2×(-4)+4v_B이므로 v_B=1 m/s이다.","반발계수는 분리 상대속력/접근 상대속력=(1-(-4))/(10-(-6))=5/16이다.","초기 운동에너지 172 J, 최종 18 J이므로 열에너지 Q=154 J이다."],"formulas":["Σp_i=Σp_f","e=(v₂′-v₁′)/(v₁-v₂)","Q=K_i-K_f"],"commonMistakes":["왼쪽 속도의 부호를 양수로 넣는 것","반발계수에서 상대속도 순서를 바꾸는 것"]}</x:v>
      </x:c>
      <x:c r="L82" s="56" t="str">
        <x:v>{"inputMode":"text","answer":"v_B=1 m/s, e=5/16, Q=154 J","acceptableAnswers":[]}</x:v>
      </x:c>
      <x:c r="M82" s="56" t="str">
        <x:v>{"prompt":"1 kg 공이 +8 m/s, 3 kg 공이 -2 m/s로 충돌한다. 충돌 후 1 kg 공이 -1 m/s이면 다른 공의 속도, e, 손실 에너지를 구하시오.","answer":"1 m/s, 0.2, 36 J","explanation":"운동량으로 v=1, e=(1-(-1))/(8-(-2))=0.2, 에너지 차는 38-2=36 J이다.","inputMode":"text","acceptableAnswers":["1,0.2,36"]}</x:v>
      </x:c>
      <x:c r="N82" s="56" t="str">
        <x:v>verified</x:v>
      </x:c>
      <x:c r="O82" s="56" t="str"/>
      <x:c r="P82" s="56" t="str">
        <x:v>{"page":13,"crop":[35,80,1120,1500]}</x:v>
      </x:c>
    </x:row>
    <x:row r="83" ht="44" customHeight="1">
      <x:c r="A83" s="56" t="str">
        <x:v>physics1-basic-total-mechanics</x:v>
      </x:c>
      <x:c r="B83" s="56" t="n">
        <x:v>24</x:v>
      </x:c>
      <x:c r="C83" s="56" t="str">
        <x:v>subjective</x:v>
      </x:c>
      <x:c r="D83" s="56" t="str">
        <x:v>points</x:v>
      </x:c>
      <x:c r="E83" s="56" t="n">
        <x:v>4</x:v>
      </x:c>
      <x:c r="F83" s="56" t="str">
        <x:v>힘과 운동</x:v>
      </x:c>
      <x:c r="G83" s="56" t="str">
        <x:v>카트-추 연결과 가속도 변화</x:v>
      </x:c>
      <x:c r="H83" s="56" t="str">
        <x:v>중</x:v>
      </x:c>
      <x:c r="I83" s="56" t="str">
        <x:v>{"display":"k=2mM/(M-m) (M&gt;m)","answerKey":null}</x:v>
      </x:c>
      <x:c r="J83" s="56" t="str">
        <x:v>[{"criterion":"처음 가속도","points":1},{"criterion":"새 가속도","points":1},{"criterion":"두 배 조건 방정식","points":1},{"criterion":"최종식과 M&gt;m","points":1}]</x:v>
      </x:c>
      <x:c r="K83" s="56" t="str">
        <x:v>{"steps":["처음 가속도는 a=mg/(M+m)이다.","새 추의 전체 질량을 k라 하면 새 가속도는 kg/(M+k)이다.","kg/(M+k)=2mg/(M+m)을 풀면 k(M-m)=2mM이다.","따라서 k=2mM/(M-m)이며 양의 질량을 위해 M&gt;m이다."],"formulas":["a=mg/(M+m)","k=2mM/(M-m)"],"commonMistakes":["추가한 질량만 k로 해석하는 것","분모 M-m가 양수인지 확인하지 않는 것"]}</x:v>
      </x:c>
      <x:c r="L83" s="56" t="str">
        <x:v>{"inputMode":"text","answer":"k=2mM/(M-m) (M&gt;m)","acceptableAnswers":[]}</x:v>
      </x:c>
      <x:c r="M83" s="56" t="str">
        <x:v>{"prompt":"M=6 kg, 처음 추 m=2 kg일 때 가속도를 두 배로 만들 새 추의 전체 질량은?","answer":"6 kg","explanation":"k=2×2×6/(6-2)=6 kg이다.","inputMode":"text","acceptableAnswers":["6","6kg"]}</x:v>
      </x:c>
      <x:c r="N83" s="56" t="str">
        <x:v>corrected</x:v>
      </x:c>
      <x:c r="O83" s="56" t="str">
        <x:v>가속도를 정확히 두 배로 만들 수 있는 양의 추 질량을 위해 M&gt;m 조건을 명시해야 한다.</x:v>
      </x:c>
      <x:c r="P83" s="56" t="str">
        <x:v>{"page":14,"crop":[35,80,1120,1500]}</x:v>
      </x:c>
    </x:row>
    <x:row r="84" ht="44" customHeight="1">
      <x:c r="A84" s="56" t="str">
        <x:v>physics1-basic-total-mechanics</x:v>
      </x:c>
      <x:c r="B84" s="56" t="n">
        <x:v>25</x:v>
      </x:c>
      <x:c r="C84" s="56" t="str">
        <x:v>subjective</x:v>
      </x:c>
      <x:c r="D84" s="56" t="str">
        <x:v>points</x:v>
      </x:c>
      <x:c r="E84" s="56" t="n">
        <x:v>4</x:v>
      </x:c>
      <x:c r="F84" s="56" t="str">
        <x:v>힘과 운동</x:v>
      </x:c>
      <x:c r="G84" s="56" t="str">
        <x:v>사람-판자 계의 수직항력</x:v>
      </x:c>
      <x:c r="H84" s="56" t="str">
        <x:v>중</x:v>
      </x:c>
      <x:c r="I84" s="56" t="str">
        <x:v>{"display":"N₁=Mg-F, N=(M+m)g-2F","answerKey":null}</x:v>
      </x:c>
      <x:c r="J84" s="56" t="str">
        <x:v>[{"criterion":"사람의 자유물체도","points":1},{"criterion":"N₁ 식","points":1},{"criterion":"사람+판자 전체 계","points":1},{"criterion":"N 식","points":1}]</x:v>
      </x:c>
      <x:c r="K84" s="56" t="str">
        <x:v>{"steps":["사람만 계로 잡으면 위로 N₁과 줄의 장력 F, 아래로 Mg가 작용한다. 평형에서 N₁+F=Mg이다.","사람과 판자를 함께 계로 잡으면 외부에서 위로 지면의 수직항력 N과 두 가닥 줄의 장력 2F가 작용한다.","평형에서 N+2F=(M+m)g이므로 N=(M+m)g-2F이다."],"formulas":["N₁+F=Mg","N+2F=(M+m)g"],"commonMistakes":["전체 계에 장력을 한 번만 넣는 것","사람이 판에 미치는 힘과 판이 사람에게 주는 힘의 크기를 다르게 보는 것"]}</x:v>
      </x:c>
      <x:c r="L84" s="56" t="str">
        <x:v>{"inputMode":"text","answer":"N₁=Mg-F, N=(M+m)g-2F","acceptableAnswers":[]}</x:v>
      </x:c>
      <x:c r="M84" s="56" t="str">
        <x:v>{"prompt":"M=60 kg인 사람이 m=20 kg 판자 위에서 F=100 N으로 줄을 당긴다(g=10). N₁과 N은?","answer":"500 N, 600 N","explanation":"N₁=600-100=500 N, N=800-200=600 N이다.","inputMode":"text","acceptableAnswers":["500,600"]}</x:v>
      </x:c>
      <x:c r="N84" s="56" t="str">
        <x:v>verified</x:v>
      </x:c>
      <x:c r="O84" s="56" t="str"/>
      <x:c r="P84" s="56" t="str">
        <x:v>{"page":15,"crop":[35,80,1120,1500]}</x:v>
      </x:c>
    </x:row>
    <x:row r="85" ht="44" customHeight="1">
      <x:c r="A85" s="56" t="str">
        <x:v>physics1-basic-total-electromagnetism</x:v>
      </x:c>
      <x:c r="B85" s="56" t="n">
        <x:v>1</x:v>
      </x:c>
      <x:c r="C85" s="56" t="str">
        <x:v>objective</x:v>
      </x:c>
      <x:c r="D85" s="56" t="str">
        <x:v>binary</x:v>
      </x:c>
      <x:c r="E85" s="56" t="n">
        <x:v>4</x:v>
      </x:c>
      <x:c r="F85" s="56" t="str">
        <x:v>전류와 전하</x:v>
      </x:c>
      <x:c r="G85" s="56" t="str">
        <x:v>전하 이동과 전류 방향</x:v>
      </x:c>
      <x:c r="H85" s="56" t="str">
        <x:v>중</x:v>
      </x:c>
      <x:c r="I85" s="56" t="str">
        <x:v>{"display":"③","answerKey":3}</x:v>
      </x:c>
      <x:c r="J85" s="56" t="str">
        <x:v>[{"criterion":"정답 번호와 핵심 판단 근거가 일치함","points":4}]</x:v>
      </x:c>
      <x:c r="K85" s="56" t="str">
        <x:v>{"steps":["전자 1.25×10¹⁹개는 전하량 2 C이고 왼쪽으로 이동하므로 전류는 오른쪽 2 C에 해당한다.","양전하 1.25×10¹⁹개도 2 C가 오른쪽으로 이동한다.","총 4 C가 4 s 동안 오른쪽으로 흐르므로 I=1 A, 오른쪽이다."],"formulas":["I=Q/t","전자 이동 방향과 전류 방향은 반대"],"commonMistakes":["전자와 양전하 전류를 서로 상쇄한다고 보는 것","기본전하 1.6×10⁻¹⁹ C를 누락하는 것"]}</x:v>
      </x:c>
      <x:c r="L85" s="56" t="str">
        <x:v>{"inputMode":"choice","choices":["①","②","③","④","⑤"],"answer":"3","acceptableAnswers":["3","③"]}</x:v>
      </x:c>
      <x:c r="M85" s="56" t="str">
        <x:v>{"prompt":"2초 동안 전자 6.25×10¹⁸개가 왼쪽, 같은 수의 양전하가 오른쪽으로 이동한다. 전류는?","answer":"1 A, 오른쪽","explanation":"각각 1 C가 오른쪽 전류에 기여하여 총 2 C/2 s=1 A이다.","inputMode":"text","acceptableAnswers":["1A오른쪽","1,오른쪽"]}</x:v>
      </x:c>
      <x:c r="N85" s="56" t="str">
        <x:v>verified</x:v>
      </x:c>
      <x:c r="O85" s="56" t="str"/>
      <x:c r="P85" s="56" t="str">
        <x:v>{"page":2,"crop":[35,80,1120,720]}</x:v>
      </x:c>
    </x:row>
    <x:row r="86" ht="44" customHeight="1">
      <x:c r="A86" s="56" t="str">
        <x:v>physics1-basic-total-electromagnetism</x:v>
      </x:c>
      <x:c r="B86" s="56" t="n">
        <x:v>2</x:v>
      </x:c>
      <x:c r="C86" s="56" t="str">
        <x:v>objective</x:v>
      </x:c>
      <x:c r="D86" s="56" t="str">
        <x:v>binary</x:v>
      </x:c>
      <x:c r="E86" s="56" t="n">
        <x:v>4</x:v>
      </x:c>
      <x:c r="F86" s="56" t="str">
        <x:v>자기장</x:v>
      </x:c>
      <x:c r="G86" s="56" t="str">
        <x:v>전류가 받는 자기력과 장의 합성</x:v>
      </x:c>
      <x:c r="H86" s="56" t="str">
        <x:v>중</x:v>
      </x:c>
      <x:c r="I86" s="56" t="str">
        <x:v>{"display":"④","answerKey":4}</x:v>
      </x:c>
      <x:c r="J86" s="56" t="str">
        <x:v>[{"criterion":"정답 번호와 핵심 판단 근거가 일치함","points":4}]</x:v>
      </x:c>
      <x:c r="K86" s="56" t="str">
        <x:v>{"steps":["N극에서 S극으로 향하는 자석의 자기장과 아래쪽 자기력을 이용해 오른손 법칙을 적용하면 전류는 Q→P이다.","직선 도선의 자기장은 점 1에서 자석의 자기장과 같은 방향, 점 3에서 반대 방향으로 합성되어 B₁&gt;B₃이다.","자석의 극만 바꾸면 자기장 방향이 반대가 되어 자기력도 위쪽으로 바뀐다. 따라서 ㄴ, ㄷ이 옳다."],"formulas":["F=IL×B","직선도선 자기장: 오른손 감기 법칙"],"commonMistakes":["도선 방향 P→Q를 전류 방향으로 바로 보는 것","자석장과 도선장을 크기만 더하는 것"]}</x:v>
      </x:c>
      <x:c r="L86" s="56" t="str">
        <x:v>{"inputMode":"choice","choices":["①","②","③","④","⑤"],"answer":"4","acceptableAnswers":["4","④"]}</x:v>
      </x:c>
      <x:c r="M86" s="56" t="str">
        <x:v>{"prompt":"자기장이 오른쪽이고 전류가 종이 밖으로 흐를 때 도선이 받는 힘 방향은?","answer":"위쪽","explanation":"I×B에서 종이 밖(+z)×오른쪽(+x)=위쪽(+y)이다.","inputMode":"text","acceptableAnswers":["위","위쪽"]}</x:v>
      </x:c>
      <x:c r="N86" s="56" t="str">
        <x:v>verified</x:v>
      </x:c>
      <x:c r="O86" s="56" t="str"/>
      <x:c r="P86" s="56" t="str">
        <x:v>{"page":2,"crop":[35,760,1120,820]}</x:v>
      </x:c>
    </x:row>
    <x:row r="87" ht="44" customHeight="1">
      <x:c r="A87" s="56" t="str">
        <x:v>physics1-basic-total-electromagnetism</x:v>
      </x:c>
      <x:c r="B87" s="56" t="n">
        <x:v>3</x:v>
      </x:c>
      <x:c r="C87" s="56" t="str">
        <x:v>objective</x:v>
      </x:c>
      <x:c r="D87" s="56" t="str">
        <x:v>binary</x:v>
      </x:c>
      <x:c r="E87" s="56" t="n">
        <x:v>4</x:v>
      </x:c>
      <x:c r="F87" s="56" t="str">
        <x:v>빛</x:v>
      </x:c>
      <x:c r="G87" s="56" t="str">
        <x:v>프리즘 분산</x:v>
      </x:c>
      <x:c r="H87" s="56" t="str">
        <x:v>중</x:v>
      </x:c>
      <x:c r="I87" s="56" t="str">
        <x:v>{"display":"①","answerKey":1}</x:v>
      </x:c>
      <x:c r="J87" s="56" t="str">
        <x:v>[{"criterion":"정답 번호와 핵심 판단 근거가 일치함","points":4}]</x:v>
      </x:c>
      <x:c r="K87" s="56" t="str">
        <x:v>{"steps":["프리즘에서 빨간빛은 굴절이 작고 보라빛은 굴절이 크다. 그림의 A는 빨강, B는 보라이다.","빨간빛의 파장이 보라빛보다 길므로 “A의 파장이 B보다 짧다”는 ①이 옳지 않다.","여러 색을 다시 한 점에 합치면 흰빛으로 보인다."],"formulas":["분산: 파장에 따른 굴절률 차이"],"commonMistakes":["굴절이 큰 색을 빨강으로 보는 것","진동수와 파장 관계를 반대로 기억하는 것"]}</x:v>
      </x:c>
      <x:c r="L87" s="56" t="str">
        <x:v>{"inputMode":"choice","choices":["①","②","③","④","⑤"],"answer":"1","acceptableAnswers":["1","①"]}</x:v>
      </x:c>
      <x:c r="M87" s="56" t="str">
        <x:v>{"prompt":"유리 프리즘에서 빨간빛과 보라빛 중 더 크게 굴절되는 빛과 파장이 더 긴 빛을 각각 쓰시오.","answer":"보라빛, 빨간빛","explanation":"보라빛은 굴절률이 더 크고, 빨간빛은 파장이 더 길다.","inputMode":"text","acceptableAnswers":["보라,빨강"]}</x:v>
      </x:c>
      <x:c r="N87" s="56" t="str">
        <x:v>verified</x:v>
      </x:c>
      <x:c r="O87" s="56" t="str"/>
      <x:c r="P87" s="56" t="str">
        <x:v>{"page":3,"crop":[35,80,1120,720]}</x:v>
      </x:c>
    </x:row>
    <x:row r="88" ht="44" customHeight="1">
      <x:c r="A88" s="56" t="str">
        <x:v>physics1-basic-total-electromagnetism</x:v>
      </x:c>
      <x:c r="B88" s="56" t="n">
        <x:v>4</x:v>
      </x:c>
      <x:c r="C88" s="56" t="str">
        <x:v>objective</x:v>
      </x:c>
      <x:c r="D88" s="56" t="str">
        <x:v>binary</x:v>
      </x:c>
      <x:c r="E88" s="56" t="n">
        <x:v>4</x:v>
      </x:c>
      <x:c r="F88" s="56" t="str">
        <x:v>전기장과 전위</x:v>
      </x:c>
      <x:c r="G88" s="56" t="str">
        <x:v>점전하의 전위</x:v>
      </x:c>
      <x:c r="H88" s="56" t="str">
        <x:v>중</x:v>
      </x:c>
      <x:c r="I88" s="56" t="str">
        <x:v>{"display":"⑤","answerKey":5}</x:v>
      </x:c>
      <x:c r="J88" s="56" t="str">
        <x:v>[{"criterion":"정답 번호와 핵심 판단 근거가 일치함","points":4}]</x:v>
      </x:c>
      <x:c r="K88" s="56" t="str">
        <x:v>{"steps":["점전하 +Q의 전위는 V=kQ/r이므로 A, B, C의 전위비는 1:1/2:1/3=6:3:2이다.","가장 가까운 A의 전위가 가장 높다.","합은 kQ/s(1+1/2+1/3)=11kQ/(6s)이다. 모두 옳다."],"formulas":["V=kQ/r","전위는 스칼라 합"],"commonMistakes":["전위와 전기장 세기를 같은 비로 보는 것","전위를 벡터로 합성하는 것"]}</x:v>
      </x:c>
      <x:c r="L88" s="56" t="str">
        <x:v>{"inputMode":"choice","choices":["①","②","③","④","⑤"],"answer":"5","acceptableAnswers":["5","⑤"]}</x:v>
      </x:c>
      <x:c r="M88" s="56" t="str">
        <x:v>{"prompt":"+Q에서 거리 r, 2r인 두 점의 전위비는?","answer":"2:1","explanation":"kQ/r : kQ/(2r)=2:1이다.","inputMode":"text","acceptableAnswers":["2:1","2"]}</x:v>
      </x:c>
      <x:c r="N88" s="56" t="str">
        <x:v>corrected</x:v>
      </x:c>
      <x:c r="O88" s="56" t="str">
        <x:v>보기 ㄴ의 “전위 세기”는 물리적으로 “전위”로 교정하였다.</x:v>
      </x:c>
      <x:c r="P88" s="56" t="str">
        <x:v>{"page":3,"crop":[35,760,1120,820]}</x:v>
      </x:c>
    </x:row>
    <x:row r="89" ht="44" customHeight="1">
      <x:c r="A89" s="56" t="str">
        <x:v>physics1-basic-total-electromagnetism</x:v>
      </x:c>
      <x:c r="B89" s="56" t="n">
        <x:v>5</x:v>
      </x:c>
      <x:c r="C89" s="56" t="str">
        <x:v>objective</x:v>
      </x:c>
      <x:c r="D89" s="56" t="str">
        <x:v>binary</x:v>
      </x:c>
      <x:c r="E89" s="56" t="n">
        <x:v>4</x:v>
      </x:c>
      <x:c r="F89" s="56" t="str">
        <x:v>전기 회로</x:v>
      </x:c>
      <x:c r="G89" s="56" t="str">
        <x:v>저항과 비저항</x:v>
      </x:c>
      <x:c r="H89" s="56" t="str">
        <x:v>중</x:v>
      </x:c>
      <x:c r="I89" s="56" t="str">
        <x:v>{"display":"④","answerKey":4}</x:v>
      </x:c>
      <x:c r="J89" s="56" t="str">
        <x:v>[{"criterion":"정답 번호와 핵심 판단 근거가 일치함","points":4}]</x:v>
      </x:c>
      <x:c r="K89" s="56" t="str">
        <x:v>{"steps":["저항은 R=ρL/A이다. 같은 부피를 유지하며 길이를 절반으로 접으면 단면적이 두 배가 되어 R은 1/4이 된다.","금속은 온도가 오르면 격자 이온의 열진동이 커져 전자 산란이 증가하므로 저항이 증가한다.","따라서 저항이 감소한다고 한 ④가 옳지 않다."],"formulas":["R=ρL/A","부피 LA=constant"],"commonMistakes":["금속의 자유전자 수 증가만 생각해 저항이 감소한다고 보는 것","비저항과 저항을 같은 뜻으로 쓰는 것"]}</x:v>
      </x:c>
      <x:c r="L89" s="56" t="str">
        <x:v>{"inputMode":"choice","choices":["①","②","③","④","⑤"],"answer":"4","acceptableAnswers":["4","④"]}</x:v>
      </x:c>
      <x:c r="M89" s="56" t="str">
        <x:v>{"prompt":"같은 재료의 도선을 부피를 유지한 채 길이 2배로 늘이면 저항은 원래의 몇 배인가?","answer":"4배","explanation":"단면적은 절반이므로 R′=ρ(2L)/(A/2)=4R이다.","inputMode":"text","acceptableAnswers":["4","4배"]}</x:v>
      </x:c>
      <x:c r="N89" s="56" t="str">
        <x:v>corrected</x:v>
      </x:c>
      <x:c r="O89" s="56" t="str">
        <x:v>공식 해설의 “양성자의 진동”은 “금속 격자 이온의 열진동”으로 교정하였다.</x:v>
      </x:c>
      <x:c r="P89" s="56" t="str">
        <x:v>{"page":4,"crop":[35,80,1120,720]}</x:v>
      </x:c>
    </x:row>
    <x:row r="90" ht="44" customHeight="1">
      <x:c r="A90" s="56" t="str">
        <x:v>physics1-basic-total-electromagnetism</x:v>
      </x:c>
      <x:c r="B90" s="56" t="n">
        <x:v>6</x:v>
      </x:c>
      <x:c r="C90" s="56" t="str">
        <x:v>objective</x:v>
      </x:c>
      <x:c r="D90" s="56" t="str">
        <x:v>binary</x:v>
      </x:c>
      <x:c r="E90" s="56" t="n">
        <x:v>4</x:v>
      </x:c>
      <x:c r="F90" s="56" t="str">
        <x:v>전기 회로</x:v>
      </x:c>
      <x:c r="G90" s="56" t="str">
        <x:v>전구 정격과 소비전력</x:v>
      </x:c>
      <x:c r="H90" s="56" t="str">
        <x:v>중</x:v>
      </x:c>
      <x:c r="I90" s="56" t="str">
        <x:v>{"display":"④","answerKey":4}</x:v>
      </x:c>
      <x:c r="J90" s="56" t="str">
        <x:v>[{"criterion":"정답 번호와 핵심 판단 근거가 일치함","points":4}]</x:v>
      </x:c>
      <x:c r="K90" s="56" t="str">
        <x:v>{"steps":["정격 저항은 R=V²/P이므로 A,C는 100 Ω, B,D는 50 Ω이다. 따라서 ㄱ은 거짓이다.","A-B 직렬 가지에서 A의 전력은 B의 2배이고, C와 D는 각각 전원에 직접 병렬 연결된다.","밝기 순서는 D&gt;C&gt;A&gt;B이고 A는 B보다 두 배 밝으므로 ㄴ, ㄷ이 옳다."],"formulas":["R=V²/P","P=I²R","P=V²/R"],"commonMistakes":["정격 전력이 큰 전구의 저항도 크다고 생각하는 것","직렬과 병렬 전압 조건을 섞는 것"]}</x:v>
      </x:c>
      <x:c r="L90" s="56" t="str">
        <x:v>{"inputMode":"choice","choices":["①","②","③","④","⑤"],"answer":"4","acceptableAnswers":["4","④"]}</x:v>
      </x:c>
      <x:c r="M90" s="56" t="str">
        <x:v>{"prompt":"정격 120 V-60 W 전구와 120 V-120 W 전구를 직렬 연결했다. 어느 전구가 더 밝고 전력비는?","answer":"60 W 정격 전구, 2:1","explanation":"저항은 각각 240 Ω, 120 Ω이고 직렬에서는 P∝R이다.","inputMode":"text","acceptableAnswers":["60W,2:1","60,2"]}</x:v>
      </x:c>
      <x:c r="N90" s="56" t="str">
        <x:v>verified</x:v>
      </x:c>
      <x:c r="O90" s="56" t="str"/>
      <x:c r="P90" s="56" t="str">
        <x:v>{"page":4,"crop":[35,760,1120,820]}</x:v>
      </x:c>
    </x:row>
    <x:row r="91" ht="44" customHeight="1">
      <x:c r="A91" s="56" t="str">
        <x:v>physics1-basic-total-electromagnetism</x:v>
      </x:c>
      <x:c r="B91" s="56" t="n">
        <x:v>7</x:v>
      </x:c>
      <x:c r="C91" s="56" t="str">
        <x:v>objective</x:v>
      </x:c>
      <x:c r="D91" s="56" t="str">
        <x:v>binary</x:v>
      </x:c>
      <x:c r="E91" s="56" t="n">
        <x:v>4</x:v>
      </x:c>
      <x:c r="F91" s="56" t="str">
        <x:v>전기 회로</x:v>
      </x:c>
      <x:c r="G91" s="56" t="str">
        <x:v>합성저항</x:v>
      </x:c>
      <x:c r="H91" s="56" t="str">
        <x:v>중</x:v>
      </x:c>
      <x:c r="I91" s="56" t="str">
        <x:v>{"display":"②","answerKey":2}</x:v>
      </x:c>
      <x:c r="J91" s="56" t="str">
        <x:v>[{"criterion":"정답 번호와 핵심 판단 근거가 일치함","points":4}]</x:v>
      </x:c>
      <x:c r="K91" s="56" t="str">
        <x:v>{"steps":["오른쪽 세 3 Ω 저항의 병렬 합성은 1 Ω이다.","위·아래 3 Ω과 직렬이므로 해당 가지는 7 Ω이다.","이 7 Ω 가지와 왼쪽 3 Ω이 병렬이므로 R=21/10=2.1 Ω이다."],"formulas":["1/R_parallel=Σ1/R","R_series=ΣR"],"commonMistakes":["오른쪽 세 저항을 직렬로 보는 것","7 Ω과 3 Ω을 다시 직렬로 더하는 것"]}</x:v>
      </x:c>
      <x:c r="L91" s="56" t="str">
        <x:v>{"inputMode":"choice","choices":["①","②","③","④","⑤"],"answer":"2","acceptableAnswers":["2","②"]}</x:v>
      </x:c>
      <x:c r="M91" s="56" t="str">
        <x:v>{"prompt":"6 Ω 저항 세 개를 병렬 연결한 뒤 3 Ω 저항 두 개와 직렬 연결했다. 합성저항은?","answer":"8 Ω","explanation":"세 6 Ω의 병렬은 2 Ω, 여기에 3+3을 더해 8 Ω이다.","inputMode":"text","acceptableAnswers":["8","8Ω"]}</x:v>
      </x:c>
      <x:c r="N91" s="56" t="str">
        <x:v>verified</x:v>
      </x:c>
      <x:c r="O91" s="56" t="str"/>
      <x:c r="P91" s="56" t="str">
        <x:v>{"page":5,"crop":[35,80,1120,720]}</x:v>
      </x:c>
    </x:row>
    <x:row r="92" ht="44" customHeight="1">
      <x:c r="A92" s="56" t="str">
        <x:v>physics1-basic-total-electromagnetism</x:v>
      </x:c>
      <x:c r="B92" s="56" t="n">
        <x:v>8</x:v>
      </x:c>
      <x:c r="C92" s="56" t="str">
        <x:v>objective</x:v>
      </x:c>
      <x:c r="D92" s="56" t="str">
        <x:v>binary</x:v>
      </x:c>
      <x:c r="E92" s="56" t="n">
        <x:v>4</x:v>
      </x:c>
      <x:c r="F92" s="56" t="str">
        <x:v>정전기</x:v>
      </x:c>
      <x:c r="G92" s="56" t="str">
        <x:v>유도 대전과 접지</x:v>
      </x:c>
      <x:c r="H92" s="56" t="str">
        <x:v>중</x:v>
      </x:c>
      <x:c r="I92" s="56" t="str">
        <x:v>{"display":"②","answerKey":2}</x:v>
      </x:c>
      <x:c r="J92" s="56" t="str">
        <x:v>[{"criterion":"정답 번호와 핵심 판단 근거가 일치함","points":4}]</x:v>
      </x:c>
      <x:c r="K92" s="56" t="str">
        <x:v>{"steps":["양전하 유리막대를 가까이 하면 전자가 금속판 쪽으로 이동해 잎에는 양전하가 남는다.","막대를 둔 채 접지하면 땅에서 전자가 들어와 금속박이 오므라든다.","손을 먼저 떼고 막대를 멀리하면 검전기 전체에 음전하가 남아 잎이 벌어진다. 그림 ②이다."],"formulas":["유도 대전 순서: 대전체 접근→접지→접지 해제→대전체 제거"],"commonMistakes":["대전체를 먼저 치우는 것","접지 후 검전기가 중성이라고 보는 것"]}</x:v>
      </x:c>
      <x:c r="L92" s="56" t="str">
        <x:v>{"inputMode":"choice","choices":["①","②","③","④","⑤"],"answer":"2","acceptableAnswers":["2","②"]}</x:v>
      </x:c>
      <x:c r="M92" s="56" t="str">
        <x:v>{"prompt":"음전하 막대를 가까이한 채 검전기를 접지하고, 손을 먼저 뗀 뒤 막대를 치웠다. 검전기의 최종 전하는?","answer":"양전하","explanation":"전자가 땅으로 빠져나간 상태에서 접지를 끊으므로 양전하가 남는다.","inputMode":"text","acceptableAnswers":["양","양전하"]}</x:v>
      </x:c>
      <x:c r="N92" s="56" t="str">
        <x:v>verified</x:v>
      </x:c>
      <x:c r="O92" s="56" t="str"/>
      <x:c r="P92" s="56" t="str">
        <x:v>{"page":5,"crop":[35,760,1120,820]}</x:v>
      </x:c>
    </x:row>
    <x:row r="93" ht="44" customHeight="1">
      <x:c r="A93" s="56" t="str">
        <x:v>physics1-basic-total-electromagnetism</x:v>
      </x:c>
      <x:c r="B93" s="56" t="n">
        <x:v>9</x:v>
      </x:c>
      <x:c r="C93" s="56" t="str">
        <x:v>objective</x:v>
      </x:c>
      <x:c r="D93" s="56" t="str">
        <x:v>binary</x:v>
      </x:c>
      <x:c r="E93" s="56" t="n">
        <x:v>4</x:v>
      </x:c>
      <x:c r="F93" s="56" t="str">
        <x:v>전력</x:v>
      </x:c>
      <x:c r="G93" s="56" t="str">
        <x:v>승압 송전</x:v>
      </x:c>
      <x:c r="H93" s="56" t="str">
        <x:v>중</x:v>
      </x:c>
      <x:c r="I93" s="56" t="str">
        <x:v>{"display":"③","answerKey":3}</x:v>
      </x:c>
      <x:c r="J93" s="56" t="str">
        <x:v>[{"criterion":"정답 번호와 핵심 판단 근거가 일치함","points":4}]</x:v>
      </x:c>
      <x:c r="K93" s="56" t="str">
        <x:v>{"steps":["송전 전력이 일정하면 I=P/V이다.","전압을 2배로 올리면 전류는 1/2배가 된다.","송전 손실은 I²R이므로 1/4배가 된다. 따라서 ③이 옳다."],"formulas":["P=VI","P_loss=I²R"],"commonMistakes":["전압을 높이면 전류가 빨라진다고 보는 것","전류 1/2와 손실 1/4을 혼동하는 것"]}</x:v>
      </x:c>
      <x:c r="L93" s="56" t="str">
        <x:v>{"inputMode":"choice","choices":["①","②","③","④","⑤"],"answer":"3","acceptableAnswers":["3","③"]}</x:v>
      </x:c>
      <x:c r="M93" s="56" t="str">
        <x:v>{"prompt":"같은 전력을 송전할 때 전압을 3배로 높이면 손실전력은 몇 배인가?","answer":"1/9배","explanation":"전류는 1/3, I²R은 1/9이 된다.","inputMode":"text","acceptableAnswers":["1/9","0.111"]}</x:v>
      </x:c>
      <x:c r="N93" s="56" t="str">
        <x:v>verified</x:v>
      </x:c>
      <x:c r="O93" s="56" t="str"/>
      <x:c r="P93" s="56" t="str">
        <x:v>{"page":6,"crop":[35,80,1120,720]}</x:v>
      </x:c>
    </x:row>
    <x:row r="94" ht="44" customHeight="1">
      <x:c r="A94" s="56" t="str">
        <x:v>physics1-basic-total-electromagnetism</x:v>
      </x:c>
      <x:c r="B94" s="56" t="n">
        <x:v>10</x:v>
      </x:c>
      <x:c r="C94" s="56" t="str">
        <x:v>objective</x:v>
      </x:c>
      <x:c r="D94" s="56" t="str">
        <x:v>binary</x:v>
      </x:c>
      <x:c r="E94" s="56" t="n">
        <x:v>4</x:v>
      </x:c>
      <x:c r="F94" s="56" t="str">
        <x:v>전기 회로</x:v>
      </x:c>
      <x:c r="G94" s="56" t="str">
        <x:v>스위치와 전구 밝기</x:v>
      </x:c>
      <x:c r="H94" s="56" t="str">
        <x:v>중</x:v>
      </x:c>
      <x:c r="I94" s="56" t="str">
        <x:v>{"display":"②","answerKey":2}</x:v>
      </x:c>
      <x:c r="J94" s="56" t="str">
        <x:v>[{"criterion":"정답 번호와 핵심 판단 근거가 일치함","points":4}]</x:v>
      </x:c>
      <x:c r="K94" s="56" t="str">
        <x:v>{"steps":["스위치가 열렸을 때 A와 B의 병렬 합성 R/2가 C와 직렬이고, C에 더 큰 전력이 소비된다. 따라서 ㄱ은 거짓이다.","스위치를 닫으면 C는 도선에 의해 단락되어 꺼지고 A, B가 전원에 직접 연결되어 밝아진다.","전체 합성저항은 줄어 전체 소비전력은 증가하므로 ㄷ은 거짓이다. ㄴ만 옳다."],"formulas":["P=V²/R_eq","단락된 소자의 전압은 0"],"commonMistakes":["단락을 단선으로 오해하는 것","합성저항 감소 시 전체 소비전력도 감소한다고 보는 것"]}</x:v>
      </x:c>
      <x:c r="L94" s="56" t="str">
        <x:v>{"inputMode":"choice","choices":["①","②","③","④","⑤"],"answer":"2","acceptableAnswers":["2","②"]}</x:v>
      </x:c>
      <x:c r="M94" s="56" t="str">
        <x:v>{"prompt":"A와 B가 병렬이고 그 묶음이 C와 직렬이다. C와 병렬인 스위치를 닫으면 세 전구 밝기는 어떻게 되는가?","answer":"A와 B는 밝아지고 C는 꺼진다.","explanation":"스위치가 C를 단락하고 전체 저항을 줄인다.","inputMode":"text","acceptableAnswers":["A,B밝아짐C꺼짐"]}</x:v>
      </x:c>
      <x:c r="N94" s="56" t="str">
        <x:v>verified</x:v>
      </x:c>
      <x:c r="O94" s="56" t="str"/>
      <x:c r="P94" s="56" t="str">
        <x:v>{"page":6,"crop":[35,760,1120,820]}</x:v>
      </x:c>
    </x:row>
    <x:row r="95" ht="44" customHeight="1">
      <x:c r="A95" s="56" t="str">
        <x:v>physics1-basic-total-electromagnetism</x:v>
      </x:c>
      <x:c r="B95" s="56" t="n">
        <x:v>11</x:v>
      </x:c>
      <x:c r="C95" s="56" t="str">
        <x:v>objective</x:v>
      </x:c>
      <x:c r="D95" s="56" t="str">
        <x:v>binary</x:v>
      </x:c>
      <x:c r="E95" s="56" t="n">
        <x:v>4</x:v>
      </x:c>
      <x:c r="F95" s="56" t="str">
        <x:v>전기장과 전위</x:v>
      </x:c>
      <x:c r="G95" s="56" t="str">
        <x:v>전위 그래프와 전기장</x:v>
      </x:c>
      <x:c r="H95" s="56" t="str">
        <x:v>중</x:v>
      </x:c>
      <x:c r="I95" s="56" t="str">
        <x:v>{"display":"④","answerKey":4}</x:v>
      </x:c>
      <x:c r="J95" s="56" t="str">
        <x:v>[{"criterion":"정답 번호와 핵심 판단 근거가 일치함","points":4}]</x:v>
      </x:c>
      <x:c r="K95" s="56" t="str">
        <x:v>{"steps":["두 금속구 주위 전위가 모두 양수이므로 두 구는 양전하이다. B의 전위 분포가 더 커 전하량도 더 크다.","같은 부호 두 전하 사이에는 전기장이 0인 점이 있다.","A 왼쪽에서 전기장은 왼쪽이지만 전자는 음전하이므로 받는 힘은 오른쪽이다. 따라서 ④가 잘못되었다."],"formulas":["E_x=-dV/dx","F=qE"],"commonMistakes":["전기장 방향과 전자에 작용하는 힘 방향을 같게 보는 것","전위의 높이만 보고 전기장 세기를 판단하는 것"]}</x:v>
      </x:c>
      <x:c r="L95" s="56" t="str">
        <x:v>{"inputMode":"choice","choices":["①","②","③","④","⑤"],"answer":"4","acceptableAnswers":["4","④"]}</x:v>
      </x:c>
      <x:c r="M95" s="56" t="str">
        <x:v>{"prompt":"전위가 x가 증가할수록 감소하는 구간에 전자를 놓았다. 전기장과 전자 힘 방향을 쓰시오.","answer":"전기장은 +x, 전자 힘은 -x","explanation":"E=-dV/dx이고 전자는 q&lt;0이므로 힘은 전기장 반대이다.","inputMode":"text","acceptableAnswers":["+x,-x","오른쪽,왼쪽"]}</x:v>
      </x:c>
      <x:c r="N95" s="56" t="str">
        <x:v>verified</x:v>
      </x:c>
      <x:c r="O95" s="56" t="str"/>
      <x:c r="P95" s="56" t="str">
        <x:v>{"page":7,"crop":[35,80,1120,720]}</x:v>
      </x:c>
    </x:row>
    <x:row r="96" ht="44" customHeight="1">
      <x:c r="A96" s="56" t="str">
        <x:v>physics1-basic-total-electromagnetism</x:v>
      </x:c>
      <x:c r="B96" s="56" t="n">
        <x:v>12</x:v>
      </x:c>
      <x:c r="C96" s="56" t="str">
        <x:v>objective</x:v>
      </x:c>
      <x:c r="D96" s="56" t="str">
        <x:v>binary</x:v>
      </x:c>
      <x:c r="E96" s="56" t="n">
        <x:v>4</x:v>
      </x:c>
      <x:c r="F96" s="56" t="str">
        <x:v>자기장</x:v>
      </x:c>
      <x:c r="G96" s="56" t="str">
        <x:v>여러 직선도선의 자기장 합성</x:v>
      </x:c>
      <x:c r="H96" s="56" t="str">
        <x:v>중</x:v>
      </x:c>
      <x:c r="I96" s="56" t="str">
        <x:v>{"display":"⑤","answerKey":5}</x:v>
      </x:c>
      <x:c r="J96" s="56" t="str">
        <x:v>[{"criterion":"정답 번호와 핵심 판단 근거가 일치함","points":4}]</x:v>
      </x:c>
      <x:c r="K96" s="56" t="str">
        <x:v>{"steps":["각 도선의 자기장 크기는 전류에 비례하고 거리에 반비례한다.","그림의 방향을 오른손 법칙으로 합성하면 x방향 성분 6B₀, y방향 성분 8B₀이다.","전체 크기는 √(6²+8²)B₀=10B₀이다."],"formulas":["B=μ₀I/(2πr)","B_total=√(B_x²+B_y²)"],"commonMistakes":["방향을 무시하고 스칼라로 모두 더하는 것","6-8의 절댓값으로 계산하는 것"]}</x:v>
      </x:c>
      <x:c r="L96" s="56" t="str">
        <x:v>{"inputMode":"choice","choices":["①","②","③","④","⑤"],"answer":"5","acceptableAnswers":["5","⑤"]}</x:v>
      </x:c>
      <x:c r="M96" s="56" t="str">
        <x:v>{"prompt":"서로 수직인 자기장 성분이 3B₀와 4B₀일 때 합성 자기장 크기는?","answer":"5B₀","explanation":"피타고라스 정리로 √(9+16)B₀=5B₀이다.","inputMode":"text","acceptableAnswers":["5B0","5"]}</x:v>
      </x:c>
      <x:c r="N96" s="56" t="str">
        <x:v>verified</x:v>
      </x:c>
      <x:c r="O96" s="56" t="str"/>
      <x:c r="P96" s="56" t="str">
        <x:v>{"page":7,"crop":[35,760,1120,820]}</x:v>
      </x:c>
    </x:row>
    <x:row r="97" ht="44" customHeight="1">
      <x:c r="A97" s="56" t="str">
        <x:v>physics1-basic-total-electromagnetism</x:v>
      </x:c>
      <x:c r="B97" s="56" t="n">
        <x:v>13</x:v>
      </x:c>
      <x:c r="C97" s="56" t="str">
        <x:v>objective</x:v>
      </x:c>
      <x:c r="D97" s="56" t="str">
        <x:v>binary</x:v>
      </x:c>
      <x:c r="E97" s="56" t="n">
        <x:v>4</x:v>
      </x:c>
      <x:c r="F97" s="56" t="str">
        <x:v>전자기 유도</x:v>
      </x:c>
      <x:c r="G97" s="56" t="str">
        <x:v>패러데이·렌츠 법칙</x:v>
      </x:c>
      <x:c r="H97" s="56" t="str">
        <x:v>중</x:v>
      </x:c>
      <x:c r="I97" s="56" t="str">
        <x:v>{"display":"②","answerKey":2}</x:v>
      </x:c>
      <x:c r="J97" s="56" t="str">
        <x:v>[{"criterion":"정답 번호와 핵심 판단 근거가 일치함","points":4}]</x:v>
      </x:c>
      <x:c r="K97" s="56" t="str">
        <x:v>{"steps":["자기선속 변화율은 B(dS/dt)=0.5×4=2 Wb/s이므로 유도기전력은 2 V이다.","전류는 I=ε/R=2/0.4=5 A이다.","종이 안쪽 자기선속이 증가하므로 이를 막기 위해 종이 바깥쪽 자기장을 만드는 반시계방향 전류가 흐른다. ㄱ, ㄴ이 옳다."],"formulas":["|ε|=|dΦ/dt|","Φ=BS","I=ε/R"],"commonMistakes":["렌츠 법칙을 증가 방향과 같은 방향으로 적용하는 것","면적 변화율 단위를 놓치는 것"]}</x:v>
      </x:c>
      <x:c r="L97" s="56" t="str">
        <x:v>{"inputMode":"choice","choices":["①","②","③","④","⑤"],"answer":"2","acceptableAnswers":["2","②"]}</x:v>
      </x:c>
      <x:c r="M97" s="56" t="str">
        <x:v>{"prompt":"종이 안쪽 0.8 T 자기장에서 도선 면적이 2 m²/s로 증가하고 R=0.4 Ω이다. 전류 크기와 방향은?","answer":"4 A, 반시계방향","explanation":"ε=0.8×2=1.6 V, I=4 A이며 증가를 막기 위해 바깥쪽 장, 즉 반시계이다.","inputMode":"text","acceptableAnswers":["4A반시계","4,반시계"]}</x:v>
      </x:c>
      <x:c r="N97" s="56" t="str">
        <x:v>verified</x:v>
      </x:c>
      <x:c r="O97" s="56" t="str"/>
      <x:c r="P97" s="56" t="str">
        <x:v>{"page":8,"crop":[35,80,1120,720]}</x:v>
      </x:c>
    </x:row>
    <x:row r="98" ht="44" customHeight="1">
      <x:c r="A98" s="56" t="str">
        <x:v>physics1-basic-total-electromagnetism</x:v>
      </x:c>
      <x:c r="B98" s="56" t="n">
        <x:v>14</x:v>
      </x:c>
      <x:c r="C98" s="56" t="str">
        <x:v>objective</x:v>
      </x:c>
      <x:c r="D98" s="56" t="str">
        <x:v>binary</x:v>
      </x:c>
      <x:c r="E98" s="56" t="n">
        <x:v>4</x:v>
      </x:c>
      <x:c r="F98" s="56" t="str">
        <x:v>자기장</x:v>
      </x:c>
      <x:c r="G98" s="56" t="str">
        <x:v>자기장 상쇄 조건</x:v>
      </x:c>
      <x:c r="H98" s="56" t="str">
        <x:v>중</x:v>
      </x:c>
      <x:c r="I98" s="56" t="str">
        <x:v>{"display":"①","answerKey":1}</x:v>
      </x:c>
      <x:c r="J98" s="56" t="str">
        <x:v>[{"criterion":"정답 번호와 핵심 판단 근거가 일치함","points":4}]</x:v>
      </x:c>
      <x:c r="K98" s="56" t="str">
        <x:v>{"steps":["x축의 두 I₀ 도선이 P에서 만드는 자기장은 크기가 같고 수직 성분이 상쇄되어 왼쪽 성분만 남는다. 합성 크기는 kI₀/d이다.","(0,-d)의 도선에서 P까지 거리는 2d이고, 그 도선의 자기장은 오른쪽 kI₁/(2d)이다.","두 크기가 같아야 하므로 I₁=2I₀이다."],"formulas":["B=kI/r","벡터 성분 합성"],"commonMistakes":["두 I₀ 도선의 자기장을 완전히 상쇄된다고 보는 것","세 번째 도선까지 거리를 d로 두는 것"]}</x:v>
      </x:c>
      <x:c r="L98" s="56" t="str">
        <x:v>{"inputMode":"choice","choices":["①","②","③","④","⑤"],"answer":"1","acceptableAnswers":["1","①"]}</x:v>
      </x:c>
      <x:c r="M98" s="56" t="str">
        <x:v>{"prompt":"동일한 대칭 배치에서 두 도선의 합성장이 kI/d, 반대 도선까지 거리가 2d라면 상쇄 전류는?","answer":"2I","explanation":"kI′/(2d)=kI/d이므로 I′=2I이다.","inputMode":"text","acceptableAnswers":["2I","2"]}</x:v>
      </x:c>
      <x:c r="N98" s="56" t="str">
        <x:v>verified</x:v>
      </x:c>
      <x:c r="O98" s="56" t="str"/>
      <x:c r="P98" s="56" t="str">
        <x:v>{"page":8,"crop":[35,760,1120,820]}</x:v>
      </x:c>
    </x:row>
    <x:row r="99" ht="44" customHeight="1">
      <x:c r="A99" s="56" t="str">
        <x:v>physics1-basic-total-electromagnetism</x:v>
      </x:c>
      <x:c r="B99" s="56" t="n">
        <x:v>15</x:v>
      </x:c>
      <x:c r="C99" s="56" t="str">
        <x:v>objective</x:v>
      </x:c>
      <x:c r="D99" s="56" t="str">
        <x:v>binary</x:v>
      </x:c>
      <x:c r="E99" s="56" t="n">
        <x:v>4</x:v>
      </x:c>
      <x:c r="F99" s="56" t="str">
        <x:v>파동</x:v>
      </x:c>
      <x:c r="G99" s="56" t="str">
        <x:v>진행파에서 매질의 운동</x:v>
      </x:c>
      <x:c r="H99" s="56" t="str">
        <x:v>중</x:v>
      </x:c>
      <x:c r="I99" s="56" t="str">
        <x:v>{"display":"②","answerKey":2}</x:v>
      </x:c>
      <x:c r="J99" s="56" t="str">
        <x:v>[{"criterion":"정답 번호와 핵심 판단 근거가 일치함","points":4}]</x:v>
      </x:c>
      <x:c r="K99" s="56" t="str">
        <x:v>{"steps":["오른쪽 진행파는 ∂y/∂t=-v∂y/∂x이다. x=1 m는 하강하는 영점이므로 매질의 +y 속도가 최대이다.","x=0.5 m는 마루이므로 a_y=-ω²y가 가장 큰 음의 값이다.","x=2 m는 상승하는 영점이므로 매질은 아래쪽으로 움직이기 시작한다. 따라서 ㄱ, ㄴ이 옳다."],"formulas":["v_y=-v_wave(dy/dx)","a_y=-ω²y"],"commonMistakes":["파동 진행방향과 매질 이동방향을 같게 보는 것","가속도 최대를 영점으로 보는 것"]}</x:v>
      </x:c>
      <x:c r="L99" s="56" t="str">
        <x:v>{"inputMode":"choice","choices":["①","②","③","④","⑤"],"answer":"2","acceptableAnswers":["2","②"]}</x:v>
      </x:c>
      <x:c r="M99" s="56" t="str">
        <x:v>{"prompt":"오른쪽 진행파의 어떤 점에서 그래프 기울기가 양수이다. 그 점의 매질 순간속도 방향은?","answer":"아래쪽","explanation":"v_y=-v_wave(dy/dx)이므로 기울기 양수이면 v_y&lt;0이다.","inputMode":"text","acceptableAnswers":["아래","아래쪽"]}</x:v>
      </x:c>
      <x:c r="N99" s="56" t="str">
        <x:v>corrected</x:v>
      </x:c>
      <x:c r="O99" s="56" t="str">
        <x:v>공식 해설의 “가속도가 가장 큰 점은 양 끝”은 정확하지 않다. 매질 가속도 크기는 변위의 절댓값이 최대인 마루·골에서 최대이다.</x:v>
      </x:c>
      <x:c r="P99" s="56" t="str">
        <x:v>{"page":9,"crop":[35,80,1120,720]}</x:v>
      </x:c>
    </x:row>
    <x:row r="100" ht="44" customHeight="1">
      <x:c r="A100" s="56" t="str">
        <x:v>physics1-basic-total-electromagnetism</x:v>
      </x:c>
      <x:c r="B100" s="56" t="n">
        <x:v>16</x:v>
      </x:c>
      <x:c r="C100" s="56" t="str">
        <x:v>objective</x:v>
      </x:c>
      <x:c r="D100" s="56" t="str">
        <x:v>binary</x:v>
      </x:c>
      <x:c r="E100" s="56" t="n">
        <x:v>4</x:v>
      </x:c>
      <x:c r="F100" s="56" t="str">
        <x:v>파동</x:v>
      </x:c>
      <x:c r="G100" s="56" t="str">
        <x:v>반대 위상 두 파원의 간섭</x:v>
      </x:c>
      <x:c r="H100" s="56" t="str">
        <x:v>중</x:v>
      </x:c>
      <x:c r="I100" s="56" t="str">
        <x:v>{"display":"④","answerKey":4}</x:v>
      </x:c>
      <x:c r="J100" s="56" t="str">
        <x:v>[{"criterion":"정답 번호와 핵심 판단 근거가 일치함","points":4}]</x:v>
      </x:c>
      <x:c r="K100" s="56" t="str">
        <x:v>{"steps":["반대 위상 파원의 보강간섭 조건은 경로차 Δ=(m+1/2)λ이다.","λ=4 cm이므로 가능한 경로차는 2, 6, 10, 14 cm이다.","선분 내부에서 각 경로차마다 대칭인 두 점이 있어 총 8개이다."],"formulas":["반대 위상 보강: Δ=(m+1/2)λ"],"commonMistakes":["같은 위상 조건 Δ=mλ를 사용하는 것","한쪽 절반의 점만 세는 것"]}</x:v>
      </x:c>
      <x:c r="L100" s="56" t="str">
        <x:v>{"inputMode":"choice","choices":["①","②","③","④","⑤"],"answer":"4","acceptableAnswers":["4","④"]}</x:v>
      </x:c>
      <x:c r="M100" s="56" t="str">
        <x:v>{"prompt":"거리 9 cm, 파장 4 cm인 반대 위상 두 파원 사이에서 보강간섭점 수는?","answer":"4개","explanation":"가능한 경로차 2,6 cm가 각각 대칭 두 점을 만들어 4개이다.","inputMode":"text","acceptableAnswers":["4","4개"]}</x:v>
      </x:c>
      <x:c r="N100" s="56" t="str">
        <x:v>verified</x:v>
      </x:c>
      <x:c r="O100" s="56" t="str"/>
      <x:c r="P100" s="56" t="str">
        <x:v>{"page":9,"crop":[35,760,1120,820]}</x:v>
      </x:c>
    </x:row>
    <x:row r="101" ht="44" customHeight="1">
      <x:c r="A101" s="56" t="str">
        <x:v>physics1-basic-total-electromagnetism</x:v>
      </x:c>
      <x:c r="B101" s="56" t="n">
        <x:v>17</x:v>
      </x:c>
      <x:c r="C101" s="56" t="str">
        <x:v>objective</x:v>
      </x:c>
      <x:c r="D101" s="56" t="str">
        <x:v>binary</x:v>
      </x:c>
      <x:c r="E101" s="56" t="n">
        <x:v>4</x:v>
      </x:c>
      <x:c r="F101" s="56" t="str">
        <x:v>파동</x:v>
      </x:c>
      <x:c r="G101" s="56" t="str">
        <x:v>같은 위상 두 점원의 원형 경로 간섭</x:v>
      </x:c>
      <x:c r="H101" s="56" t="str">
        <x:v>중</x:v>
      </x:c>
      <x:c r="I101" s="56" t="str">
        <x:v>{"display":"②","answerKey":2}</x:v>
      </x:c>
      <x:c r="J101" s="56" t="str">
        <x:v>[{"criterion":"정답 번호와 핵심 판단 근거가 일치함","points":4}]</x:v>
      </x:c>
      <x:c r="K101" s="56" t="str">
        <x:v>{"steps":["같은 위상의 보강조건은 |r₁-r₂|=mλ이다.","원의 두 점원 수직이등분선과 만나는 두 점은 경로차 0으로 극대이다.","S₁, S₂ 위치에서는 경로차 d=λ로 각각 극대이므로 총 4개이다."],"formulas":["보강간섭: Δ=mλ","|Δ|≤d"],"commonMistakes":["m=0을 한 점으로만 세는 것","원 위 끝점 S₁,S₂를 제외하는 것"]}</x:v>
      </x:c>
      <x:c r="L101" s="56" t="str">
        <x:v>{"inputMode":"choice","choices":["①","②","③","④","⑤"],"answer":"2","acceptableAnswers":["2","②"]}</x:v>
      </x:c>
      <x:c r="M101" s="56" t="str">
        <x:v>{"prompt":"같은 위상 두 파원의 간격이 λ/2이고 두 파원을 지나는 원형 경로에서 극대점 수를 구하시오.","answer":"2개","explanation":"가능한 정수 경로차는 m=0뿐이며 수직이등분선과 원의 교점 두 곳이다.","inputMode":"text","acceptableAnswers":["2","2개"]}</x:v>
      </x:c>
      <x:c r="N101" s="56" t="str">
        <x:v>corrected</x:v>
      </x:c>
      <x:c r="O101" s="56" t="str">
        <x:v>원형 경로가 두 파원 S₁, S₂를 지난다는 그림 조건을 함께 사용해야 4개의 극대점이 확정된다.</x:v>
      </x:c>
      <x:c r="P101" s="56" t="str">
        <x:v>{"page":10,"crop":[35,80,1120,720]}</x:v>
      </x:c>
    </x:row>
    <x:row r="102" ht="44" customHeight="1">
      <x:c r="A102" s="56" t="str">
        <x:v>physics1-basic-total-electromagnetism</x:v>
      </x:c>
      <x:c r="B102" s="56" t="n">
        <x:v>18</x:v>
      </x:c>
      <x:c r="C102" s="56" t="str">
        <x:v>objective</x:v>
      </x:c>
      <x:c r="D102" s="56" t="str">
        <x:v>binary</x:v>
      </x:c>
      <x:c r="E102" s="56" t="n">
        <x:v>4</x:v>
      </x:c>
      <x:c r="F102" s="56" t="str">
        <x:v>파동</x:v>
      </x:c>
      <x:c r="G102" s="56" t="str">
        <x:v>양끝 고정 정상파</x:v>
      </x:c>
      <x:c r="H102" s="56" t="str">
        <x:v>중</x:v>
      </x:c>
      <x:c r="I102" s="56" t="str">
        <x:v>{"display":"②","answerKey":2}</x:v>
      </x:c>
      <x:c r="J102" s="56" t="str">
        <x:v>[{"criterion":"정답 번호와 핵심 판단 근거가 일치함","points":4}]</x:v>
      </x:c>
      <x:c r="K102" s="56" t="str">
        <x:v>{"steps":["그림에는 반파장 구간이 3개이므로 L=3λ/2이다.","λ=2L/3=0.4 m이다.","v=fλ=50×0.4=20 m/s이다."],"formulas":["L=nλ/2","v=fλ"],"commonMistakes":["배의 개수를 파장 개수로 보는 것","L=3λ로 두는 것"]}</x:v>
      </x:c>
      <x:c r="L102" s="56" t="str">
        <x:v>{"inputMode":"choice","choices":["①","②","③","④","⑤"],"answer":"2","acceptableAnswers":["2","②"]}</x:v>
      </x:c>
      <x:c r="M102" s="56" t="str">
        <x:v>{"prompt":"길이 0.8 m 줄에 4개의 배가 생기고 진동수 50 Hz이다. 파동 속력은?","answer":"20 m/s","explanation":"L=4λ/2에서 λ=0.4 m, v=20 m/s이다.","inputMode":"text","acceptableAnswers":["20","20m/s"]}</x:v>
      </x:c>
      <x:c r="N102" s="56" t="str">
        <x:v>verified</x:v>
      </x:c>
      <x:c r="O102" s="56" t="str"/>
      <x:c r="P102" s="56" t="str">
        <x:v>{"page":10,"crop":[35,760,1120,820]}</x:v>
      </x:c>
    </x:row>
    <x:row r="103" ht="44" customHeight="1">
      <x:c r="A103" s="56" t="str">
        <x:v>physics1-basic-total-electromagnetism</x:v>
      </x:c>
      <x:c r="B103" s="56" t="n">
        <x:v>19</x:v>
      </x:c>
      <x:c r="C103" s="56" t="str">
        <x:v>objective</x:v>
      </x:c>
      <x:c r="D103" s="56" t="str">
        <x:v>binary</x:v>
      </x:c>
      <x:c r="E103" s="56" t="n">
        <x:v>4</x:v>
      </x:c>
      <x:c r="F103" s="56" t="str">
        <x:v>파동</x:v>
      </x:c>
      <x:c r="G103" s="56" t="str">
        <x:v>물결파 굴절</x:v>
      </x:c>
      <x:c r="H103" s="56" t="str">
        <x:v>중</x:v>
      </x:c>
      <x:c r="I103" s="56" t="str">
        <x:v>{"display":"⑤","answerKey":5}</x:v>
      </x:c>
      <x:c r="J103" s="56" t="str">
        <x:v>[{"criterion":"정답 번호와 핵심 판단 근거가 일치함","points":4}]</x:v>
      </x:c>
      <x:c r="K103" s="56" t="str">
        <x:v>{"steps":["경계에서 진동수는 변하지 않는다.","입사각 45°, 굴절각 60°이므로 sin60/sin45=v₂/v₁&gt;1이다. 따라서 매질 2의 속력과 파장이 더 크다.","물결파는 수심이 깊을수록 빠르므로 매질 2가 더 깊다. “매질 1이 더 깊다”는 ⑤가 틀리다."],"formulas":["sin i/sin r=v₁/v₂ 또는 n₁₂=v₁/v₂ (정의 확인)","v=fλ"],"commonMistakes":["파면과 진행방향의 각도를 그대로 혼동하는 것","굴절 시 진동수가 변한다고 보는 것"]}</x:v>
      </x:c>
      <x:c r="L103" s="56" t="str">
        <x:v>{"inputMode":"choice","choices":["①","②","③","④","⑤"],"answer":"5","acceptableAnswers":["5","⑤"]}</x:v>
      </x:c>
      <x:c r="M103" s="56" t="str">
        <x:v>{"prompt":"물결파의 입사각 30°, 굴절각 45°일 때 v₂/v₁은?","answer":"√2","explanation":"v₂/v₁=sin45/sin30=√2이다.","inputMode":"text","acceptableAnswers":["√2","1.414"]}</x:v>
      </x:c>
      <x:c r="N103" s="56" t="str">
        <x:v>verified</x:v>
      </x:c>
      <x:c r="O103" s="56" t="str"/>
      <x:c r="P103" s="56" t="str">
        <x:v>{"page":11,"crop":[35,80,1120,720]}</x:v>
      </x:c>
    </x:row>
    <x:row r="104" ht="44" customHeight="1">
      <x:c r="A104" s="56" t="str">
        <x:v>physics1-basic-total-electromagnetism</x:v>
      </x:c>
      <x:c r="B104" s="56" t="n">
        <x:v>20</x:v>
      </x:c>
      <x:c r="C104" s="56" t="str">
        <x:v>objective</x:v>
      </x:c>
      <x:c r="D104" s="56" t="str">
        <x:v>binary</x:v>
      </x:c>
      <x:c r="E104" s="56" t="n">
        <x:v>4</x:v>
      </x:c>
      <x:c r="F104" s="56" t="str">
        <x:v>빛</x:v>
      </x:c>
      <x:c r="G104" s="56" t="str">
        <x:v>오목거울 상의 변화</x:v>
      </x:c>
      <x:c r="H104" s="56" t="str">
        <x:v>중</x:v>
      </x:c>
      <x:c r="I104" s="56" t="str">
        <x:v>{"display":"③","answerKey":3}</x:v>
      </x:c>
      <x:c r="J104" s="56" t="str">
        <x:v>[{"criterion":"정답 번호와 핵심 판단 근거가 일치함","points":4}]</x:v>
      </x:c>
      <x:c r="K104" s="56" t="str">
        <x:v>{"steps":["물체가 초점과 구심 사이에서 더 멀어지면 실상은 초점 쪽으로 이동하여 거울 중심 C와 상의 거리가 줄고 상은 작아진다.","따라서 ㄱ은 참, ㄴ은 거짓이다.","물체를 초점 F와 거울 사이에 두면 확대된 정립 허상이 생기므로 ㄷ은 참이다. ㄱ, ㄷ이 옳다."],"formulas":["1/f=1/p+1/q","m=-q/p"],"commonMistakes":["그림의 C를 구심으로 오해하는 것","물체가 멀어질수록 상도 항상 커진다고 보는 것"]}</x:v>
      </x:c>
      <x:c r="L104" s="56" t="str">
        <x:v>{"inputMode":"choice","choices":["①","②","③","④","⑤"],"answer":"3","acceptableAnswers":["3","③"]}</x:v>
      </x:c>
      <x:c r="M104" s="56" t="str">
        <x:v>{"prompt":"오목거울의 구심 바깥에 있는 물체를 더 멀리 옮기면 실상의 위치와 크기는 어떻게 되는가?","answer":"상은 초점 쪽으로 이동하고 작아진다.","explanation":"거울식에서 물체거리 p가 커지면 q는 f에 가까워지고 |m|=q/p가 작아진다.","inputMode":"text","acceptableAnswers":["초점,작아짐"]}</x:v>
      </x:c>
      <x:c r="N104" s="56" t="str">
        <x:v>verified</x:v>
      </x:c>
      <x:c r="O104" s="56" t="str"/>
      <x:c r="P104" s="56" t="str">
        <x:v>{"page":11,"crop":[35,760,1120,820]}</x:v>
      </x:c>
    </x:row>
    <x:row r="105" ht="44" customHeight="1">
      <x:c r="A105" s="56" t="str">
        <x:v>physics1-basic-total-electromagnetism</x:v>
      </x:c>
      <x:c r="B105" s="56" t="n">
        <x:v>21</x:v>
      </x:c>
      <x:c r="C105" s="56" t="str">
        <x:v>subjective</x:v>
      </x:c>
      <x:c r="D105" s="56" t="str">
        <x:v>points</x:v>
      </x:c>
      <x:c r="E105" s="56" t="n">
        <x:v>4</x:v>
      </x:c>
      <x:c r="F105" s="56" t="str">
        <x:v>빛</x:v>
      </x:c>
      <x:c r="G105" s="56" t="str">
        <x:v>두 볼록렌즈의 연속 결상</x:v>
      </x:c>
      <x:c r="H105" s="56" t="str">
        <x:v>중</x:v>
      </x:c>
      <x:c r="I105" s="56" t="str">
        <x:v>{"display":"렌즈 2 오른쪽 20/3 cm, 확대된 도립 실상, 크기 4 cm","answerKey":null}</x:v>
      </x:c>
      <x:c r="J105" s="56" t="str">
        <x:v>[{"criterion":"렌즈 1 상 위치·배율","points":1},{"criterion":"렌즈 2의 가상 물체거리","points":1},{"criterion":"최종 위치","points":1},{"criterion":"상 종류·크기","points":1}]</x:v>
      </x:c>
      <x:c r="K105" s="56" t="str">
        <x:v>{"steps":["렌즈 1에서 1/10=1/15+1/b₁이므로 b₁=30 cm, 배율 m₁=-2이다.","렌즈 2는 렌즈 1에서 20 cm 떨어져 있으므로 첫 상은 렌즈 2 오른쪽 10 cm에 있다. 따라서 렌즈 2의 물체거리는 a₂=-10 cm이다.","1/20=1/(-10)+1/b₂에서 b₂=20/3 cm이다.","m₂=-(20/3)/(-10)=2/3, 전체 배율은 -4/3이므로 3 cm 물체의 최종 상은 4 cm 도립 실상이다."],"formulas":["1/f=1/a+1/b","m=-b/a","M=m₁m₂"],"commonMistakes":["두 번째 렌즈의 물체거리를 +10 cm로 넣는 것","전체 배율의 부호를 빼먹는 것"]}</x:v>
      </x:c>
      <x:c r="L105" s="56" t="str">
        <x:v>{"inputMode":"text","answer":"렌즈 2 오른쪽 20/3 cm, 확대된 도립 실상, 크기 4 cm","acceptableAnswers":[]}</x:v>
      </x:c>
      <x:c r="M105" s="56" t="str">
        <x:v>{"prompt":"f₁=12 cm, f₂=24 cm 렌즈를 24 cm 간격으로 두고, 렌즈 1 앞 18 cm에 높이 3 cm 물체를 놓았다. 최종 상 위치와 크기를 구하시오.","answer":"렌즈 2 오른쪽 8 cm, 도립 실상, 4 cm","explanation":"첫 상은 렌즈1 오른쪽36 cm이므로 렌즈2에 대해 a₂=-12 cm. b₂=8 cm, 전체 배율 -4/3이다.","inputMode":"text","acceptableAnswers":["8cm,4cm","8,4"]}</x:v>
      </x:c>
      <x:c r="N105" s="56" t="str">
        <x:v>corrected</x:v>
      </x:c>
      <x:c r="O105" s="56" t="str">
        <x:v>공식 해설에서 렌즈 2의 배율 m₂=+2/3을 계산하면서 중간상을 “도립”이라고 표현한 부분을 교정하였다. 렌즈 2가 만드는 상은 첫 번째 상에 대해서는 정립이며, 원래 물체에 대한 최종상은 확대된 도립 실상이다.</x:v>
      </x:c>
      <x:c r="P105" s="56" t="str">
        <x:v>{"page":12,"crop":[35,80,1120,1500]}</x:v>
      </x:c>
    </x:row>
    <x:row r="106" ht="44" customHeight="1">
      <x:c r="A106" s="56" t="str">
        <x:v>physics1-basic-total-electromagnetism</x:v>
      </x:c>
      <x:c r="B106" s="56" t="n">
        <x:v>22</x:v>
      </x:c>
      <x:c r="C106" s="56" t="str">
        <x:v>subjective</x:v>
      </x:c>
      <x:c r="D106" s="56" t="str">
        <x:v>points</x:v>
      </x:c>
      <x:c r="E106" s="56" t="n">
        <x:v>4</x:v>
      </x:c>
      <x:c r="F106" s="56" t="str">
        <x:v>빛</x:v>
      </x:c>
      <x:c r="G106" s="56" t="str">
        <x:v>굴절에 의한 겉보기 거리와 평면거울</x:v>
      </x:c>
      <x:c r="H106" s="56" t="str">
        <x:v>중</x:v>
      </x:c>
      <x:c r="I106" s="56" t="str">
        <x:v>{"display":"거울면 아래 512.5 cm","answerKey":null}</x:v>
      </x:c>
      <x:c r="J106" s="56" t="str">
        <x:v>[{"criterion":"공기 구간의 겉보기 거리","points":1},{"criterion":"거울에서 전등까지 유효거리","points":1},{"criterion":"평면거울 대칭","points":1},{"criterion":"512.5 cm와 기준 명시","points":1}]</x:v>
      </x:c>
      <x:c r="K106" s="56" t="str">
        <x:v>{"steps":["거울이 액체 속에서 공기 중 전등을 볼 때 공기 구간 250 cm는 액체 쪽에서 n_liquid/n_air=1.25배 멀어 보인다.","거울에서 본 전등의 유효 거리는 액체 깊이 200 cm+1.25×250 cm=512.5 cm이다.","평면거울의 상은 거울 뒤 같은 거리에 생기므로 거울면 아래 512.5 cm이다."],"formulas":["h_apparent(from liquid)=n_liquid h_air/n_air","평면거울: 물체거리=상거리"],"commonMistakes":["공기에서 액체 바닥을 볼 때의 h/n 공식을 반대로 적용하는 것","수면에서부터의 거리와 거울에서부터의 거리를 혼동하는 것"]}</x:v>
      </x:c>
      <x:c r="L106" s="56" t="str">
        <x:v>{"inputMode":"text","answer":"거울면 아래 512.5 cm","acceptableAnswers":[]}</x:v>
      </x:c>
      <x:c r="M106" s="56" t="str">
        <x:v>{"prompt":"수면 위 200 cm 전등, 굴절률 1.5 액체 깊이 150 cm, 바닥 평면거울이다. 거울 아래 상의 거리는?","answer":"450 cm","explanation":"거울이 보는 유효 물체거리는 150+1.5×200=450 cm이고 상거리도 같다.","inputMode":"text","acceptableAnswers":["450","450cm"]}</x:v>
      </x:c>
      <x:c r="N106" s="56" t="str">
        <x:v>verified</x:v>
      </x:c>
      <x:c r="O106" s="56" t="str"/>
      <x:c r="P106" s="56" t="str">
        <x:v>{"page":13,"crop":[35,80,1120,1500]}</x:v>
      </x:c>
    </x:row>
    <x:row r="107" ht="44" customHeight="1">
      <x:c r="A107" s="56" t="str">
        <x:v>physics1-basic-total-electromagnetism</x:v>
      </x:c>
      <x:c r="B107" s="56" t="n">
        <x:v>23</x:v>
      </x:c>
      <x:c r="C107" s="56" t="str">
        <x:v>subjective</x:v>
      </x:c>
      <x:c r="D107" s="56" t="str">
        <x:v>points</x:v>
      </x:c>
      <x:c r="E107" s="56" t="n">
        <x:v>4</x:v>
      </x:c>
      <x:c r="F107" s="56" t="str">
        <x:v>파동</x:v>
      </x:c>
      <x:c r="G107" s="56" t="str">
        <x:v>줄의 정상파와 소리 파장</x:v>
      </x:c>
      <x:c r="H107" s="56" t="str">
        <x:v>중</x:v>
      </x:c>
      <x:c r="I107" s="56" t="str">
        <x:v>{"display":"f=25 Hz, λ_sound=14 m","answerKey":null}</x:v>
      </x:c>
      <x:c r="J107" s="56" t="str">
        <x:v>[{"criterion":"n=2와 줄 파장","points":1},{"criterion":"줄 파동 속력","points":1},{"criterion":"진동수 25 Hz","points":1},{"criterion":"소리 파장 14 m","points":1}]</x:v>
      </x:c>
      <x:c r="K107" s="56" t="str">
        <x:v>{"steps":["두 번째로 파장이 긴 정상파는 n=2이므로 줄의 파장은 λ_string=2L/n=L=0.2 m이다.","줄에서 파동 속력은 √(T/μ)=√(1/0.04)=5 m/s이다.","f=v/λ=5/0.2=25 Hz이다.","공기 중 소리 파장은 350/25=14 m이다."],"formulas":["v_string=√(T/μ)","L=nλ/2","λ_sound=v_sound/f"],"commonMistakes":["40 g/m를 40 kg/m로 넣는 것","두 번째 모드를 n=1로 보는 것"]}</x:v>
      </x:c>
      <x:c r="L107" s="56" t="str">
        <x:v>{"inputMode":"text","answer":"f=25 Hz, λ_sound=14 m","acceptableAnswers":[]}</x:v>
      </x:c>
      <x:c r="M107" s="56" t="str">
        <x:v>{"prompt":"T=4 N, μ=0.04 kg/m, L=0.4 m인 줄의 두 번째 모드 진동수와, 소리 속력 340 m/s일 때 파장을 구하시오.","answer":"25 Hz, 13.6 m","explanation":"줄 속력10 m/s, n=2에서 λ_string=L=0.4 m이므로 f=25 Hz, 소리 파장=340/25=13.6 m이다.","inputMode":"text","acceptableAnswers":["25,13.6"]}</x:v>
      </x:c>
      <x:c r="N107" s="56" t="str">
        <x:v>verified</x:v>
      </x:c>
      <x:c r="O107" s="56" t="str"/>
      <x:c r="P107" s="56" t="str">
        <x:v>{"page":14,"crop":[35,80,1120,1500]}</x:v>
      </x:c>
    </x:row>
    <x:row r="108" ht="44" customHeight="1">
      <x:c r="A108" s="56" t="str">
        <x:v>physics1-basic-total-electromagnetism</x:v>
      </x:c>
      <x:c r="B108" s="56" t="n">
        <x:v>24</x:v>
      </x:c>
      <x:c r="C108" s="56" t="str">
        <x:v>subjective</x:v>
      </x:c>
      <x:c r="D108" s="56" t="str">
        <x:v>points</x:v>
      </x:c>
      <x:c r="E108" s="56" t="n">
        <x:v>4</x:v>
      </x:c>
      <x:c r="F108" s="56" t="str">
        <x:v>전기 회로</x:v>
      </x:c>
      <x:c r="G108" s="56" t="str">
        <x:v>평형 브리지와 병렬회로</x:v>
      </x:c>
      <x:c r="H108" s="56" t="str">
        <x:v>중</x:v>
      </x:c>
      <x:c r="I108" s="56" t="str">
        <x:v>{"display":"R=3 Ω, 10 Ω 저항 전류=0.6 A","answerKey":null}</x:v>
      </x:c>
      <x:c r="J108" s="56" t="str">
        <x:v>[{"criterion":"오른쪽 위 합성저항","points":1},{"criterion":"전위조건과 R","points":1},{"criterion":"가지 전류","points":1},{"criterion":"10 Ω 전류","points":1}]</x:v>
      </x:c>
      <x:c r="K108" s="56" t="str">
        <x:v>{"steps":["오른쪽 위 병렬 합성은 15||10=6 Ω이고, 위 가지 전체는 4+6=10 Ω이다.","A와 B의 전위가 같으려면 왼쪽 아래 병렬 합성저항이 2 Ω이어야 한다. 6R/(6+R)=2에서 R=3 Ω이다.","아래 가지는 2+3=5 Ω이므로 전체는 10 Ω과 5 Ω 병렬, 총전류 3 A이다.","위 가지 전류는 1 A이고 15||10 양단 전압은 6 V이므로 10 Ω 전류는 0.6 A이다."],"formulas":["R_p=R₁R₂/(R₁+R₂)","분압 조건","I=V/R"],"commonMistakes":["A-B를 도선으로 연결된 것으로 보고 전류가 흐른다고 가정하는 것","10 Ω과 15 Ω 전류를 같게 두는 것"]}</x:v>
      </x:c>
      <x:c r="L108" s="56" t="str">
        <x:v>{"inputMode":"text","answer":"R=3 Ω, 10 Ω 저항 전류=0.6 A","acceptableAnswers":[]}</x:v>
      </x:c>
      <x:c r="M108" s="56" t="str">
        <x:v>{"prompt":"전원 9 V. 위 가지는 5 Ω과 (12 Ω||6 Ω), 아래 가지는 (10 Ω||R)과 2 Ω이다. 두 중점 전위가 같을 때 R과 6 Ω 전류를 구하시오.","answer":"R=10/3 Ω, I_6=2/3 A","explanation":"위 오른쪽 합성4 Ω, 중점 전위조건으로 아래 왼쪽 합성2.5 Ω. 10||R=2.5에서 R=10/3 Ω. 위 가지 전류1 A, 병렬 전압4 V라서 I_6=2/3 A이다.","inputMode":"text","acceptableAnswers":["10/3,2/3","3.333,0.667"]}</x:v>
      </x:c>
      <x:c r="N108" s="56" t="str">
        <x:v>verified</x:v>
      </x:c>
      <x:c r="O108" s="56" t="str"/>
      <x:c r="P108" s="56" t="str">
        <x:v>{"page":15,"crop":[35,80,1120,1500]}</x:v>
      </x:c>
    </x:row>
    <x:row r="109" ht="44" customHeight="1">
      <x:c r="A109" s="56" t="str">
        <x:v>physics1-basic-total-electromagnetism</x:v>
      </x:c>
      <x:c r="B109" s="56" t="n">
        <x:v>25</x:v>
      </x:c>
      <x:c r="C109" s="56" t="str">
        <x:v>subjective</x:v>
      </x:c>
      <x:c r="D109" s="56" t="str">
        <x:v>points</x:v>
      </x:c>
      <x:c r="E109" s="56" t="n">
        <x:v>4</x:v>
      </x:c>
      <x:c r="F109" s="56" t="str">
        <x:v>전기장과 전위</x:v>
      </x:c>
      <x:c r="G109" s="56" t="str">
        <x:v>두 점전하의 전기장 벡터합</x:v>
      </x:c>
      <x:c r="H109" s="56" t="str">
        <x:v>중</x:v>
      </x:c>
      <x:c r="I109" s="56" t="str">
        <x:v>{"display":"E_D/E_C=8","answerKey":null}</x:v>
      </x:c>
      <x:c r="J109" s="56" t="str">
        <x:v>[{"criterion":"C점 벡터 성분","points":1},{"criterion":"E_C","points":1},{"criterion":"E_D","points":1},{"criterion":"비 8","points":1}]</x:v>
      </x:c>
      <x:c r="K109" s="56" t="str">
        <x:v>{"steps":["정삼각형 한 변을 a라 하면 C에서 각 전하가 만드는 장의 크기는 kq/a²이다. 수직 성분은 상쇄되고 수평 성분이 더해져 E_C=kq/a²이다.","D는 각 전하에서 a/2 떨어져 있으므로 각 장은 4kq/a²이고 방향이 모두 +q에서 -q 쪽으로 같아 E_D=8kq/a²이다.","따라서 E_D/E_C=8이다."],"formulas":["E=k|q|/r²","전기장은 벡터합"],"commonMistakes":["C에서 두 전기장이 상쇄된다고 보는 것","D에서 거리 a/2를 제곱하지 않는 것"]}</x:v>
      </x:c>
      <x:c r="L109" s="56" t="str">
        <x:v>{"inputMode":"text","answer":"E_D/E_C=8","acceptableAnswers":[]}</x:v>
      </x:c>
      <x:c r="M109" s="56" t="str">
        <x:v>{"prompt":"같은 정삼각형에서 두 전하가 +2q, -2q라면 E_D/E_C는?","answer":"8","explanation":"두 지점의 전기장이 모두 전하량에 비례해 두 배가 되므로 비는 그대로 8이다.","inputMode":"text","acceptableAnswers":["8"]}</x:v>
      </x:c>
      <x:c r="N109" s="56" t="str">
        <x:v>verified</x:v>
      </x:c>
      <x:c r="O109" s="56" t="str"/>
      <x:c r="P109" s="56" t="str">
        <x:v>{"page":16,"crop":[35,80,1120,1500]}</x:v>
      </x:c>
    </x:row>
  </x:sheetData>
  <x:conditionalFormatting sqref="N2:N500">
    <x:cfRule type="expression" dxfId="4" priority="1">
      <x:formula>N2="corrected"</x:formula>
    </x:cfRule>
    <x:cfRule type="expression" dxfId="5" priority="2">
      <x:formula>N2="verified"</x:formula>
    </x:cfRule>
  </x:conditionalFormatting>
  <x:dataValidations count="3">
    <x:dataValidation type="list" sqref="C2:C500">
      <x:formula1>"objective,subjective"</x:formula1>
    </x:dataValidation>
    <x:dataValidation type="list" sqref="D2:D500">
      <x:formula1>"achievement,binary,points"</x:formula1>
    </x:dataValidation>
    <x:dataValidation type="list" sqref="N2:N500">
      <x:formula1>"verified,corrected,needs-review,ambiguous"</x:formula1>
    </x:dataValidation>
  </x:dataValidations>
  <x:pageMargins left="0.7" right="0.7" top="0.75" bottom="0.75" header="0.3" footer="0.3"/>
  <x:tableParts count="1">
    <x:tablePart xmlns:r="http://schemas.openxmlformats.org/officeDocument/2006/relationships" r:id="R67d8b0cda41c457f"/>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38" hidden="0" customWidth="1"/>
    <x:col min="5" max="5" width="42" hidden="0" customWidth="1"/>
    <x:col min="6" max="6" width="32" hidden="0" customWidth="1"/>
    <x:col min="7" max="7" width="24" hidden="0" customWidth="1"/>
    <x:col min="8" max="8" width="24" hidden="0" customWidth="1"/>
    <x:col min="9" max="9" width="18" hidden="0" customWidth="1"/>
    <x:col min="10" max="10" width="10" hidden="0" customWidth="1"/>
    <x:col min="11" max="11" width="14" hidden="0" customWidth="1"/>
    <x:col min="12" max="12" width="48" hidden="0" customWidth="1"/>
    <x:col min="13" max="13" width="34" hidden="0" customWidth="1"/>
    <x:col min="14" max="14" width="48" hidden="0" customWidth="1"/>
    <x:col min="15" max="15" width="60" hidden="0" customWidth="1"/>
    <x:col min="16" max="16" width="22" hidden="0" customWidth="1"/>
    <x:col min="17" max="17" width="22" hidden="0" customWidth="1"/>
  </x:cols>
  <x:sheetData>
    <x:row r="1" ht="28" customHeight="1">
      <x:c r="A1" s="67" t="str">
        <x:v>Token</x:v>
      </x:c>
      <x:c r="B1" s="68" t="str">
        <x:v>Fingerprint</x:v>
      </x:c>
      <x:c r="C1" s="68" t="str">
        <x:v>IdentitySeed</x:v>
      </x:c>
      <x:c r="D1" s="68" t="str">
        <x:v>IdentityDigest</x:v>
      </x:c>
      <x:c r="E1" s="68" t="str">
        <x:v>StudentKey</x:v>
      </x:c>
      <x:c r="F1" s="68" t="str">
        <x:v>ExamId</x:v>
      </x:c>
      <x:c r="G1" s="68" t="str">
        <x:v>CourseId</x:v>
      </x:c>
      <x:c r="H1" s="68" t="str">
        <x:v>School</x:v>
      </x:c>
      <x:c r="I1" s="68" t="str">
        <x:v>Name</x:v>
      </x:c>
      <x:c r="J1" s="68" t="str">
        <x:v>Grade</x:v>
      </x:c>
      <x:c r="K1" s="68" t="str">
        <x:v>ClassNo</x:v>
      </x:c>
      <x:c r="L1" s="68" t="str">
        <x:v>ResultInputsJSON</x:v>
      </x:c>
      <x:c r="M1" s="68" t="str">
        <x:v>PartialModesJSON</x:v>
      </x:c>
      <x:c r="N1" s="68" t="str">
        <x:v>ScoringJSON</x:v>
      </x:c>
      <x:c r="O1" s="68" t="str">
        <x:v>RecordJSON</x:v>
      </x:c>
      <x:c r="P1" s="68" t="str">
        <x:v>CreatedAt</x:v>
      </x:c>
      <x:c r="Q1" s="69" t="str">
        <x:v>UpdatedAt</x:v>
      </x:c>
    </x:row>
    <x:row r="2">
      <x:c r="A2" s="56"/>
      <x:c r="B2" s="56"/>
      <x:c r="C2" s="56"/>
      <x:c r="D2" s="56"/>
      <x:c r="E2" s="56"/>
      <x:c r="F2" s="56"/>
      <x:c r="G2" s="56"/>
      <x:c r="H2" s="56"/>
      <x:c r="I2" s="56"/>
      <x:c r="J2" s="56"/>
      <x:c r="K2" s="56"/>
      <x:c r="L2" s="56"/>
      <x:c r="M2" s="56"/>
      <x:c r="N2" s="56"/>
      <x:c r="O2" s="56"/>
      <x:c r="P2" s="56"/>
      <x:c r="Q2" s="56"/>
    </x:row>
    <x:row r="3">
      <x:c r="A3" s="56"/>
      <x:c r="B3" s="56"/>
      <x:c r="C3" s="56"/>
      <x:c r="D3" s="56"/>
      <x:c r="E3" s="56"/>
      <x:c r="F3" s="56"/>
      <x:c r="G3" s="56"/>
      <x:c r="H3" s="56"/>
      <x:c r="I3" s="56"/>
      <x:c r="J3" s="56"/>
      <x:c r="K3" s="56"/>
      <x:c r="L3" s="56"/>
      <x:c r="M3" s="56"/>
      <x:c r="N3" s="56"/>
      <x:c r="O3" s="56"/>
      <x:c r="P3" s="56"/>
      <x:c r="Q3" s="56"/>
    </x:row>
    <x:row r="4">
      <x:c r="A4" s="56"/>
      <x:c r="B4" s="56"/>
      <x:c r="C4" s="56"/>
      <x:c r="D4" s="56"/>
      <x:c r="E4" s="56"/>
      <x:c r="F4" s="56"/>
      <x:c r="G4" s="56"/>
      <x:c r="H4" s="56"/>
      <x:c r="I4" s="56"/>
      <x:c r="J4" s="56"/>
      <x:c r="K4" s="56"/>
      <x:c r="L4" s="56"/>
      <x:c r="M4" s="56"/>
      <x:c r="N4" s="56"/>
      <x:c r="O4" s="56"/>
      <x:c r="P4" s="56"/>
      <x:c r="Q4" s="56"/>
    </x:row>
    <x:row r="5">
      <x:c r="A5" s="56"/>
      <x:c r="B5" s="56"/>
      <x:c r="C5" s="56"/>
      <x:c r="D5" s="56"/>
      <x:c r="E5" s="56"/>
      <x:c r="F5" s="56"/>
      <x:c r="G5" s="56"/>
      <x:c r="H5" s="56"/>
      <x:c r="I5" s="56"/>
      <x:c r="J5" s="56"/>
      <x:c r="K5" s="56"/>
      <x:c r="L5" s="56"/>
      <x:c r="M5" s="56"/>
      <x:c r="N5" s="56"/>
      <x:c r="O5" s="56"/>
      <x:c r="P5" s="56"/>
      <x:c r="Q5" s="56"/>
    </x:row>
    <x:row r="6">
      <x:c r="A6" s="56"/>
      <x:c r="B6" s="56"/>
      <x:c r="C6" s="56"/>
      <x:c r="D6" s="56"/>
      <x:c r="E6" s="56"/>
      <x:c r="F6" s="56"/>
      <x:c r="G6" s="56"/>
      <x:c r="H6" s="56"/>
      <x:c r="I6" s="56"/>
      <x:c r="J6" s="56"/>
      <x:c r="K6" s="56"/>
      <x:c r="L6" s="56"/>
      <x:c r="M6" s="56"/>
      <x:c r="N6" s="56"/>
      <x:c r="O6" s="56"/>
      <x:c r="P6" s="56"/>
      <x:c r="Q6" s="56"/>
    </x:row>
    <x:row r="7">
      <x:c r="A7" s="56"/>
      <x:c r="B7" s="56"/>
      <x:c r="C7" s="56"/>
      <x:c r="D7" s="56"/>
      <x:c r="E7" s="56"/>
      <x:c r="F7" s="56"/>
      <x:c r="G7" s="56"/>
      <x:c r="H7" s="56"/>
      <x:c r="I7" s="56"/>
      <x:c r="J7" s="56"/>
      <x:c r="K7" s="56"/>
      <x:c r="L7" s="56"/>
      <x:c r="M7" s="56"/>
      <x:c r="N7" s="56"/>
      <x:c r="O7" s="56"/>
      <x:c r="P7" s="56"/>
      <x:c r="Q7" s="56"/>
    </x:row>
    <x:row r="8">
      <x:c r="A8" s="56"/>
      <x:c r="B8" s="56"/>
      <x:c r="C8" s="56"/>
      <x:c r="D8" s="56"/>
      <x:c r="E8" s="56"/>
      <x:c r="F8" s="56"/>
      <x:c r="G8" s="56"/>
      <x:c r="H8" s="56"/>
      <x:c r="I8" s="56"/>
      <x:c r="J8" s="56"/>
      <x:c r="K8" s="56"/>
      <x:c r="L8" s="56"/>
      <x:c r="M8" s="56"/>
      <x:c r="N8" s="56"/>
      <x:c r="O8" s="56"/>
      <x:c r="P8" s="56"/>
      <x:c r="Q8" s="56"/>
    </x:row>
    <x:row r="9">
      <x:c r="A9" s="56"/>
      <x:c r="B9" s="56"/>
      <x:c r="C9" s="56"/>
      <x:c r="D9" s="56"/>
      <x:c r="E9" s="56"/>
      <x:c r="F9" s="56"/>
      <x:c r="G9" s="56"/>
      <x:c r="H9" s="56"/>
      <x:c r="I9" s="56"/>
      <x:c r="J9" s="56"/>
      <x:c r="K9" s="56"/>
      <x:c r="L9" s="56"/>
      <x:c r="M9" s="56"/>
      <x:c r="N9" s="56"/>
      <x:c r="O9" s="56"/>
      <x:c r="P9" s="56"/>
      <x:c r="Q9" s="56"/>
    </x:row>
    <x:row r="10">
      <x:c r="A10" s="56"/>
      <x:c r="B10" s="56"/>
      <x:c r="C10" s="56"/>
      <x:c r="D10" s="56"/>
      <x:c r="E10" s="56"/>
      <x:c r="F10" s="56"/>
      <x:c r="G10" s="56"/>
      <x:c r="H10" s="56"/>
      <x:c r="I10" s="56"/>
      <x:c r="J10" s="56"/>
      <x:c r="K10" s="56"/>
      <x:c r="L10" s="56"/>
      <x:c r="M10" s="56"/>
      <x:c r="N10" s="56"/>
      <x:c r="O10" s="56"/>
      <x:c r="P10" s="56"/>
      <x:c r="Q10" s="56"/>
    </x:row>
    <x:row r="11">
      <x:c r="A11" s="56"/>
      <x:c r="B11" s="56"/>
      <x:c r="C11" s="56"/>
      <x:c r="D11" s="56"/>
      <x:c r="E11" s="56"/>
      <x:c r="F11" s="56"/>
      <x:c r="G11" s="56"/>
      <x:c r="H11" s="56"/>
      <x:c r="I11" s="56"/>
      <x:c r="J11" s="56"/>
      <x:c r="K11" s="56"/>
      <x:c r="L11" s="56"/>
      <x:c r="M11" s="56"/>
      <x:c r="N11" s="56"/>
      <x:c r="O11" s="56"/>
      <x:c r="P11" s="56"/>
      <x:c r="Q11" s="56"/>
    </x:row>
    <x:row r="12">
      <x:c r="A12" s="56"/>
      <x:c r="B12" s="56"/>
      <x:c r="C12" s="56"/>
      <x:c r="D12" s="56"/>
      <x:c r="E12" s="56"/>
      <x:c r="F12" s="56"/>
      <x:c r="G12" s="56"/>
      <x:c r="H12" s="56"/>
      <x:c r="I12" s="56"/>
      <x:c r="J12" s="56"/>
      <x:c r="K12" s="56"/>
      <x:c r="L12" s="56"/>
      <x:c r="M12" s="56"/>
      <x:c r="N12" s="56"/>
      <x:c r="O12" s="56"/>
      <x:c r="P12" s="56"/>
      <x:c r="Q12" s="56"/>
    </x:row>
    <x:row r="13">
      <x:c r="A13" s="56"/>
      <x:c r="B13" s="56"/>
      <x:c r="C13" s="56"/>
      <x:c r="D13" s="56"/>
      <x:c r="E13" s="56"/>
      <x:c r="F13" s="56"/>
      <x:c r="G13" s="56"/>
      <x:c r="H13" s="56"/>
      <x:c r="I13" s="56"/>
      <x:c r="J13" s="56"/>
      <x:c r="K13" s="56"/>
      <x:c r="L13" s="56"/>
      <x:c r="M13" s="56"/>
      <x:c r="N13" s="56"/>
      <x:c r="O13" s="56"/>
      <x:c r="P13" s="56"/>
      <x:c r="Q13" s="56"/>
    </x:row>
    <x:row r="14">
      <x:c r="A14" s="56"/>
      <x:c r="B14" s="56"/>
      <x:c r="C14" s="56"/>
      <x:c r="D14" s="56"/>
      <x:c r="E14" s="56"/>
      <x:c r="F14" s="56"/>
      <x:c r="G14" s="56"/>
      <x:c r="H14" s="56"/>
      <x:c r="I14" s="56"/>
      <x:c r="J14" s="56"/>
      <x:c r="K14" s="56"/>
      <x:c r="L14" s="56"/>
      <x:c r="M14" s="56"/>
      <x:c r="N14" s="56"/>
      <x:c r="O14" s="56"/>
      <x:c r="P14" s="56"/>
      <x:c r="Q14" s="56"/>
    </x:row>
    <x:row r="15">
      <x:c r="A15" s="56"/>
      <x:c r="B15" s="56"/>
      <x:c r="C15" s="56"/>
      <x:c r="D15" s="56"/>
      <x:c r="E15" s="56"/>
      <x:c r="F15" s="56"/>
      <x:c r="G15" s="56"/>
      <x:c r="H15" s="56"/>
      <x:c r="I15" s="56"/>
      <x:c r="J15" s="56"/>
      <x:c r="K15" s="56"/>
      <x:c r="L15" s="56"/>
      <x:c r="M15" s="56"/>
      <x:c r="N15" s="56"/>
      <x:c r="O15" s="56"/>
      <x:c r="P15" s="56"/>
      <x:c r="Q15" s="56"/>
    </x:row>
    <x:row r="16">
      <x:c r="A16" s="56"/>
      <x:c r="B16" s="56"/>
      <x:c r="C16" s="56"/>
      <x:c r="D16" s="56"/>
      <x:c r="E16" s="56"/>
      <x:c r="F16" s="56"/>
      <x:c r="G16" s="56"/>
      <x:c r="H16" s="56"/>
      <x:c r="I16" s="56"/>
      <x:c r="J16" s="56"/>
      <x:c r="K16" s="56"/>
      <x:c r="L16" s="56"/>
      <x:c r="M16" s="56"/>
      <x:c r="N16" s="56"/>
      <x:c r="O16" s="56"/>
      <x:c r="P16" s="56"/>
      <x:c r="Q16" s="56"/>
    </x:row>
    <x:row r="17">
      <x:c r="A17" s="56"/>
      <x:c r="B17" s="56"/>
      <x:c r="C17" s="56"/>
      <x:c r="D17" s="56"/>
      <x:c r="E17" s="56"/>
      <x:c r="F17" s="56"/>
      <x:c r="G17" s="56"/>
      <x:c r="H17" s="56"/>
      <x:c r="I17" s="56"/>
      <x:c r="J17" s="56"/>
      <x:c r="K17" s="56"/>
      <x:c r="L17" s="56"/>
      <x:c r="M17" s="56"/>
      <x:c r="N17" s="56"/>
      <x:c r="O17" s="56"/>
      <x:c r="P17" s="56"/>
      <x:c r="Q17" s="56"/>
    </x:row>
    <x:row r="18">
      <x:c r="A18" s="56"/>
      <x:c r="B18" s="56"/>
      <x:c r="C18" s="56"/>
      <x:c r="D18" s="56"/>
      <x:c r="E18" s="56"/>
      <x:c r="F18" s="56"/>
      <x:c r="G18" s="56"/>
      <x:c r="H18" s="56"/>
      <x:c r="I18" s="56"/>
      <x:c r="J18" s="56"/>
      <x:c r="K18" s="56"/>
      <x:c r="L18" s="56"/>
      <x:c r="M18" s="56"/>
      <x:c r="N18" s="56"/>
      <x:c r="O18" s="56"/>
      <x:c r="P18" s="56"/>
      <x:c r="Q18" s="56"/>
    </x:row>
    <x:row r="19">
      <x:c r="A19" s="56"/>
      <x:c r="B19" s="56"/>
      <x:c r="C19" s="56"/>
      <x:c r="D19" s="56"/>
      <x:c r="E19" s="56"/>
      <x:c r="F19" s="56"/>
      <x:c r="G19" s="56"/>
      <x:c r="H19" s="56"/>
      <x:c r="I19" s="56"/>
      <x:c r="J19" s="56"/>
      <x:c r="K19" s="56"/>
      <x:c r="L19" s="56"/>
      <x:c r="M19" s="56"/>
      <x:c r="N19" s="56"/>
      <x:c r="O19" s="56"/>
      <x:c r="P19" s="56"/>
      <x:c r="Q19" s="56"/>
    </x:row>
    <x:row r="20">
      <x:c r="A20" s="56"/>
      <x:c r="B20" s="56"/>
      <x:c r="C20" s="56"/>
      <x:c r="D20" s="56"/>
      <x:c r="E20" s="56"/>
      <x:c r="F20" s="56"/>
      <x:c r="G20" s="56"/>
      <x:c r="H20" s="56"/>
      <x:c r="I20" s="56"/>
      <x:c r="J20" s="56"/>
      <x:c r="K20" s="56"/>
      <x:c r="L20" s="56"/>
      <x:c r="M20" s="56"/>
      <x:c r="N20" s="56"/>
      <x:c r="O20" s="56"/>
      <x:c r="P20" s="56"/>
      <x:c r="Q20" s="56"/>
    </x:row>
    <x:row r="21">
      <x:c r="A21" s="56"/>
      <x:c r="B21" s="56"/>
      <x:c r="C21" s="56"/>
      <x:c r="D21" s="56"/>
      <x:c r="E21" s="56"/>
      <x:c r="F21" s="56"/>
      <x:c r="G21" s="56"/>
      <x:c r="H21" s="56"/>
      <x:c r="I21" s="56"/>
      <x:c r="J21" s="56"/>
      <x:c r="K21" s="56"/>
      <x:c r="L21" s="56"/>
      <x:c r="M21" s="56"/>
      <x:c r="N21" s="56"/>
      <x:c r="O21" s="56"/>
      <x:c r="P21" s="56"/>
      <x:c r="Q21" s="56"/>
    </x:row>
    <x:row r="22">
      <x:c r="A22" s="56"/>
      <x:c r="B22" s="56"/>
      <x:c r="C22" s="56"/>
      <x:c r="D22" s="56"/>
      <x:c r="E22" s="56"/>
      <x:c r="F22" s="56"/>
      <x:c r="G22" s="56"/>
      <x:c r="H22" s="56"/>
      <x:c r="I22" s="56"/>
      <x:c r="J22" s="56"/>
      <x:c r="K22" s="56"/>
      <x:c r="L22" s="56"/>
      <x:c r="M22" s="56"/>
      <x:c r="N22" s="56"/>
      <x:c r="O22" s="56"/>
      <x:c r="P22" s="56"/>
      <x:c r="Q22" s="56"/>
    </x:row>
    <x:row r="23">
      <x:c r="A23" s="56"/>
      <x:c r="B23" s="56"/>
      <x:c r="C23" s="56"/>
      <x:c r="D23" s="56"/>
      <x:c r="E23" s="56"/>
      <x:c r="F23" s="56"/>
      <x:c r="G23" s="56"/>
      <x:c r="H23" s="56"/>
      <x:c r="I23" s="56"/>
      <x:c r="J23" s="56"/>
      <x:c r="K23" s="56"/>
      <x:c r="L23" s="56"/>
      <x:c r="M23" s="56"/>
      <x:c r="N23" s="56"/>
      <x:c r="O23" s="56"/>
      <x:c r="P23" s="56"/>
      <x:c r="Q23" s="56"/>
    </x:row>
    <x:row r="24">
      <x:c r="A24" s="56"/>
      <x:c r="B24" s="56"/>
      <x:c r="C24" s="56"/>
      <x:c r="D24" s="56"/>
      <x:c r="E24" s="56"/>
      <x:c r="F24" s="56"/>
      <x:c r="G24" s="56"/>
      <x:c r="H24" s="56"/>
      <x:c r="I24" s="56"/>
      <x:c r="J24" s="56"/>
      <x:c r="K24" s="56"/>
      <x:c r="L24" s="56"/>
      <x:c r="M24" s="56"/>
      <x:c r="N24" s="56"/>
      <x:c r="O24" s="56"/>
      <x:c r="P24" s="56"/>
      <x:c r="Q24" s="56"/>
    </x:row>
    <x:row r="25">
      <x:c r="A25" s="56"/>
      <x:c r="B25" s="56"/>
      <x:c r="C25" s="56"/>
      <x:c r="D25" s="56"/>
      <x:c r="E25" s="56"/>
      <x:c r="F25" s="56"/>
      <x:c r="G25" s="56"/>
      <x:c r="H25" s="56"/>
      <x:c r="I25" s="56"/>
      <x:c r="J25" s="56"/>
      <x:c r="K25" s="56"/>
      <x:c r="L25" s="56"/>
      <x:c r="M25" s="56"/>
      <x:c r="N25" s="56"/>
      <x:c r="O25" s="56"/>
      <x:c r="P25" s="56"/>
      <x:c r="Q25" s="56"/>
    </x:row>
    <x:row r="26">
      <x:c r="A26" s="56"/>
      <x:c r="B26" s="56"/>
      <x:c r="C26" s="56"/>
      <x:c r="D26" s="56"/>
      <x:c r="E26" s="56"/>
      <x:c r="F26" s="56"/>
      <x:c r="G26" s="56"/>
      <x:c r="H26" s="56"/>
      <x:c r="I26" s="56"/>
      <x:c r="J26" s="56"/>
      <x:c r="K26" s="56"/>
      <x:c r="L26" s="56"/>
      <x:c r="M26" s="56"/>
      <x:c r="N26" s="56"/>
      <x:c r="O26" s="56"/>
      <x:c r="P26" s="56"/>
      <x:c r="Q26" s="56"/>
    </x:row>
    <x:row r="27">
      <x:c r="A27" s="56"/>
      <x:c r="B27" s="56"/>
      <x:c r="C27" s="56"/>
      <x:c r="D27" s="56"/>
      <x:c r="E27" s="56"/>
      <x:c r="F27" s="56"/>
      <x:c r="G27" s="56"/>
      <x:c r="H27" s="56"/>
      <x:c r="I27" s="56"/>
      <x:c r="J27" s="56"/>
      <x:c r="K27" s="56"/>
      <x:c r="L27" s="56"/>
      <x:c r="M27" s="56"/>
      <x:c r="N27" s="56"/>
      <x:c r="O27" s="56"/>
      <x:c r="P27" s="56"/>
      <x:c r="Q27" s="56"/>
    </x:row>
    <x:row r="28">
      <x:c r="A28" s="56"/>
      <x:c r="B28" s="56"/>
      <x:c r="C28" s="56"/>
      <x:c r="D28" s="56"/>
      <x:c r="E28" s="56"/>
      <x:c r="F28" s="56"/>
      <x:c r="G28" s="56"/>
      <x:c r="H28" s="56"/>
      <x:c r="I28" s="56"/>
      <x:c r="J28" s="56"/>
      <x:c r="K28" s="56"/>
      <x:c r="L28" s="56"/>
      <x:c r="M28" s="56"/>
      <x:c r="N28" s="56"/>
      <x:c r="O28" s="56"/>
      <x:c r="P28" s="56"/>
      <x:c r="Q28" s="56"/>
    </x:row>
    <x:row r="29">
      <x:c r="A29" s="56"/>
      <x:c r="B29" s="56"/>
      <x:c r="C29" s="56"/>
      <x:c r="D29" s="56"/>
      <x:c r="E29" s="56"/>
      <x:c r="F29" s="56"/>
      <x:c r="G29" s="56"/>
      <x:c r="H29" s="56"/>
      <x:c r="I29" s="56"/>
      <x:c r="J29" s="56"/>
      <x:c r="K29" s="56"/>
      <x:c r="L29" s="56"/>
      <x:c r="M29" s="56"/>
      <x:c r="N29" s="56"/>
      <x:c r="O29" s="56"/>
      <x:c r="P29" s="56"/>
      <x:c r="Q29" s="56"/>
    </x:row>
    <x:row r="30">
      <x:c r="A30" s="56"/>
      <x:c r="B30" s="56"/>
      <x:c r="C30" s="56"/>
      <x:c r="D30" s="56"/>
      <x:c r="E30" s="56"/>
      <x:c r="F30" s="56"/>
      <x:c r="G30" s="56"/>
      <x:c r="H30" s="56"/>
      <x:c r="I30" s="56"/>
      <x:c r="J30" s="56"/>
      <x:c r="K30" s="56"/>
      <x:c r="L30" s="56"/>
      <x:c r="M30" s="56"/>
      <x:c r="N30" s="56"/>
      <x:c r="O30" s="56"/>
      <x:c r="P30" s="56"/>
      <x:c r="Q30" s="56"/>
    </x:row>
    <x:row r="31">
      <x:c r="A31" s="56"/>
      <x:c r="B31" s="56"/>
      <x:c r="C31" s="56"/>
      <x:c r="D31" s="56"/>
      <x:c r="E31" s="56"/>
      <x:c r="F31" s="56"/>
      <x:c r="G31" s="56"/>
      <x:c r="H31" s="56"/>
      <x:c r="I31" s="56"/>
      <x:c r="J31" s="56"/>
      <x:c r="K31" s="56"/>
      <x:c r="L31" s="56"/>
      <x:c r="M31" s="56"/>
      <x:c r="N31" s="56"/>
      <x:c r="O31" s="56"/>
      <x:c r="P31" s="56"/>
      <x:c r="Q31" s="56"/>
    </x:row>
    <x:row r="32">
      <x:c r="A32" s="56"/>
      <x:c r="B32" s="56"/>
      <x:c r="C32" s="56"/>
      <x:c r="D32" s="56"/>
      <x:c r="E32" s="56"/>
      <x:c r="F32" s="56"/>
      <x:c r="G32" s="56"/>
      <x:c r="H32" s="56"/>
      <x:c r="I32" s="56"/>
      <x:c r="J32" s="56"/>
      <x:c r="K32" s="56"/>
      <x:c r="L32" s="56"/>
      <x:c r="M32" s="56"/>
      <x:c r="N32" s="56"/>
      <x:c r="O32" s="56"/>
      <x:c r="P32" s="56"/>
      <x:c r="Q32" s="56"/>
    </x:row>
    <x:row r="33">
      <x:c r="A33" s="56"/>
      <x:c r="B33" s="56"/>
      <x:c r="C33" s="56"/>
      <x:c r="D33" s="56"/>
      <x:c r="E33" s="56"/>
      <x:c r="F33" s="56"/>
      <x:c r="G33" s="56"/>
      <x:c r="H33" s="56"/>
      <x:c r="I33" s="56"/>
      <x:c r="J33" s="56"/>
      <x:c r="K33" s="56"/>
      <x:c r="L33" s="56"/>
      <x:c r="M33" s="56"/>
      <x:c r="N33" s="56"/>
      <x:c r="O33" s="56"/>
      <x:c r="P33" s="56"/>
      <x:c r="Q33" s="56"/>
    </x:row>
    <x:row r="34">
      <x:c r="A34" s="56"/>
      <x:c r="B34" s="56"/>
      <x:c r="C34" s="56"/>
      <x:c r="D34" s="56"/>
      <x:c r="E34" s="56"/>
      <x:c r="F34" s="56"/>
      <x:c r="G34" s="56"/>
      <x:c r="H34" s="56"/>
      <x:c r="I34" s="56"/>
      <x:c r="J34" s="56"/>
      <x:c r="K34" s="56"/>
      <x:c r="L34" s="56"/>
      <x:c r="M34" s="56"/>
      <x:c r="N34" s="56"/>
      <x:c r="O34" s="56"/>
      <x:c r="P34" s="56"/>
      <x:c r="Q34" s="56"/>
    </x:row>
    <x:row r="35">
      <x:c r="A35" s="56"/>
      <x:c r="B35" s="56"/>
      <x:c r="C35" s="56"/>
      <x:c r="D35" s="56"/>
      <x:c r="E35" s="56"/>
      <x:c r="F35" s="56"/>
      <x:c r="G35" s="56"/>
      <x:c r="H35" s="56"/>
      <x:c r="I35" s="56"/>
      <x:c r="J35" s="56"/>
      <x:c r="K35" s="56"/>
      <x:c r="L35" s="56"/>
      <x:c r="M35" s="56"/>
      <x:c r="N35" s="56"/>
      <x:c r="O35" s="56"/>
      <x:c r="P35" s="56"/>
      <x:c r="Q35" s="56"/>
    </x:row>
    <x:row r="36">
      <x:c r="A36" s="56"/>
      <x:c r="B36" s="56"/>
      <x:c r="C36" s="56"/>
      <x:c r="D36" s="56"/>
      <x:c r="E36" s="56"/>
      <x:c r="F36" s="56"/>
      <x:c r="G36" s="56"/>
      <x:c r="H36" s="56"/>
      <x:c r="I36" s="56"/>
      <x:c r="J36" s="56"/>
      <x:c r="K36" s="56"/>
      <x:c r="L36" s="56"/>
      <x:c r="M36" s="56"/>
      <x:c r="N36" s="56"/>
      <x:c r="O36" s="56"/>
      <x:c r="P36" s="56"/>
      <x:c r="Q36" s="56"/>
    </x:row>
    <x:row r="37">
      <x:c r="A37" s="56"/>
      <x:c r="B37" s="56"/>
      <x:c r="C37" s="56"/>
      <x:c r="D37" s="56"/>
      <x:c r="E37" s="56"/>
      <x:c r="F37" s="56"/>
      <x:c r="G37" s="56"/>
      <x:c r="H37" s="56"/>
      <x:c r="I37" s="56"/>
      <x:c r="J37" s="56"/>
      <x:c r="K37" s="56"/>
      <x:c r="L37" s="56"/>
      <x:c r="M37" s="56"/>
      <x:c r="N37" s="56"/>
      <x:c r="O37" s="56"/>
      <x:c r="P37" s="56"/>
      <x:c r="Q37" s="56"/>
    </x:row>
    <x:row r="38">
      <x:c r="A38" s="56"/>
      <x:c r="B38" s="56"/>
      <x:c r="C38" s="56"/>
      <x:c r="D38" s="56"/>
      <x:c r="E38" s="56"/>
      <x:c r="F38" s="56"/>
      <x:c r="G38" s="56"/>
      <x:c r="H38" s="56"/>
      <x:c r="I38" s="56"/>
      <x:c r="J38" s="56"/>
      <x:c r="K38" s="56"/>
      <x:c r="L38" s="56"/>
      <x:c r="M38" s="56"/>
      <x:c r="N38" s="56"/>
      <x:c r="O38" s="56"/>
      <x:c r="P38" s="56"/>
      <x:c r="Q38" s="56"/>
    </x:row>
    <x:row r="39">
      <x:c r="A39" s="56"/>
      <x:c r="B39" s="56"/>
      <x:c r="C39" s="56"/>
      <x:c r="D39" s="56"/>
      <x:c r="E39" s="56"/>
      <x:c r="F39" s="56"/>
      <x:c r="G39" s="56"/>
      <x:c r="H39" s="56"/>
      <x:c r="I39" s="56"/>
      <x:c r="J39" s="56"/>
      <x:c r="K39" s="56"/>
      <x:c r="L39" s="56"/>
      <x:c r="M39" s="56"/>
      <x:c r="N39" s="56"/>
      <x:c r="O39" s="56"/>
      <x:c r="P39" s="56"/>
      <x:c r="Q39" s="56"/>
    </x:row>
    <x:row r="40">
      <x:c r="A40" s="56"/>
      <x:c r="B40" s="56"/>
      <x:c r="C40" s="56"/>
      <x:c r="D40" s="56"/>
      <x:c r="E40" s="56"/>
      <x:c r="F40" s="56"/>
      <x:c r="G40" s="56"/>
      <x:c r="H40" s="56"/>
      <x:c r="I40" s="56"/>
      <x:c r="J40" s="56"/>
      <x:c r="K40" s="56"/>
      <x:c r="L40" s="56"/>
      <x:c r="M40" s="56"/>
      <x:c r="N40" s="56"/>
      <x:c r="O40" s="56"/>
      <x:c r="P40" s="56"/>
      <x:c r="Q40" s="56"/>
    </x:row>
    <x:row r="41">
      <x:c r="A41" s="56"/>
      <x:c r="B41" s="56"/>
      <x:c r="C41" s="56"/>
      <x:c r="D41" s="56"/>
      <x:c r="E41" s="56"/>
      <x:c r="F41" s="56"/>
      <x:c r="G41" s="56"/>
      <x:c r="H41" s="56"/>
      <x:c r="I41" s="56"/>
      <x:c r="J41" s="56"/>
      <x:c r="K41" s="56"/>
      <x:c r="L41" s="56"/>
      <x:c r="M41" s="56"/>
      <x:c r="N41" s="56"/>
      <x:c r="O41" s="56"/>
      <x:c r="P41" s="56"/>
      <x:c r="Q41" s="56"/>
    </x:row>
    <x:row r="42">
      <x:c r="A42" s="56"/>
      <x:c r="B42" s="56"/>
      <x:c r="C42" s="56"/>
      <x:c r="D42" s="56"/>
      <x:c r="E42" s="56"/>
      <x:c r="F42" s="56"/>
      <x:c r="G42" s="56"/>
      <x:c r="H42" s="56"/>
      <x:c r="I42" s="56"/>
      <x:c r="J42" s="56"/>
      <x:c r="K42" s="56"/>
      <x:c r="L42" s="56"/>
      <x:c r="M42" s="56"/>
      <x:c r="N42" s="56"/>
      <x:c r="O42" s="56"/>
      <x:c r="P42" s="56"/>
      <x:c r="Q42" s="56"/>
    </x:row>
    <x:row r="43">
      <x:c r="A43" s="56"/>
      <x:c r="B43" s="56"/>
      <x:c r="C43" s="56"/>
      <x:c r="D43" s="56"/>
      <x:c r="E43" s="56"/>
      <x:c r="F43" s="56"/>
      <x:c r="G43" s="56"/>
      <x:c r="H43" s="56"/>
      <x:c r="I43" s="56"/>
      <x:c r="J43" s="56"/>
      <x:c r="K43" s="56"/>
      <x:c r="L43" s="56"/>
      <x:c r="M43" s="56"/>
      <x:c r="N43" s="56"/>
      <x:c r="O43" s="56"/>
      <x:c r="P43" s="56"/>
      <x:c r="Q43" s="56"/>
    </x:row>
    <x:row r="44">
      <x:c r="A44" s="56"/>
      <x:c r="B44" s="56"/>
      <x:c r="C44" s="56"/>
      <x:c r="D44" s="56"/>
      <x:c r="E44" s="56"/>
      <x:c r="F44" s="56"/>
      <x:c r="G44" s="56"/>
      <x:c r="H44" s="56"/>
      <x:c r="I44" s="56"/>
      <x:c r="J44" s="56"/>
      <x:c r="K44" s="56"/>
      <x:c r="L44" s="56"/>
      <x:c r="M44" s="56"/>
      <x:c r="N44" s="56"/>
      <x:c r="O44" s="56"/>
      <x:c r="P44" s="56"/>
      <x:c r="Q44" s="56"/>
    </x:row>
    <x:row r="45">
      <x:c r="A45" s="56"/>
      <x:c r="B45" s="56"/>
      <x:c r="C45" s="56"/>
      <x:c r="D45" s="56"/>
      <x:c r="E45" s="56"/>
      <x:c r="F45" s="56"/>
      <x:c r="G45" s="56"/>
      <x:c r="H45" s="56"/>
      <x:c r="I45" s="56"/>
      <x:c r="J45" s="56"/>
      <x:c r="K45" s="56"/>
      <x:c r="L45" s="56"/>
      <x:c r="M45" s="56"/>
      <x:c r="N45" s="56"/>
      <x:c r="O45" s="56"/>
      <x:c r="P45" s="56"/>
      <x:c r="Q45" s="56"/>
    </x:row>
    <x:row r="46">
      <x:c r="A46" s="56"/>
      <x:c r="B46" s="56"/>
      <x:c r="C46" s="56"/>
      <x:c r="D46" s="56"/>
      <x:c r="E46" s="56"/>
      <x:c r="F46" s="56"/>
      <x:c r="G46" s="56"/>
      <x:c r="H46" s="56"/>
      <x:c r="I46" s="56"/>
      <x:c r="J46" s="56"/>
      <x:c r="K46" s="56"/>
      <x:c r="L46" s="56"/>
      <x:c r="M46" s="56"/>
      <x:c r="N46" s="56"/>
      <x:c r="O46" s="56"/>
      <x:c r="P46" s="56"/>
      <x:c r="Q46" s="56"/>
    </x:row>
    <x:row r="47">
      <x:c r="A47" s="56"/>
      <x:c r="B47" s="56"/>
      <x:c r="C47" s="56"/>
      <x:c r="D47" s="56"/>
      <x:c r="E47" s="56"/>
      <x:c r="F47" s="56"/>
      <x:c r="G47" s="56"/>
      <x:c r="H47" s="56"/>
      <x:c r="I47" s="56"/>
      <x:c r="J47" s="56"/>
      <x:c r="K47" s="56"/>
      <x:c r="L47" s="56"/>
      <x:c r="M47" s="56"/>
      <x:c r="N47" s="56"/>
      <x:c r="O47" s="56"/>
      <x:c r="P47" s="56"/>
      <x:c r="Q47" s="56"/>
    </x:row>
    <x:row r="48">
      <x:c r="A48" s="56"/>
      <x:c r="B48" s="56"/>
      <x:c r="C48" s="56"/>
      <x:c r="D48" s="56"/>
      <x:c r="E48" s="56"/>
      <x:c r="F48" s="56"/>
      <x:c r="G48" s="56"/>
      <x:c r="H48" s="56"/>
      <x:c r="I48" s="56"/>
      <x:c r="J48" s="56"/>
      <x:c r="K48" s="56"/>
      <x:c r="L48" s="56"/>
      <x:c r="M48" s="56"/>
      <x:c r="N48" s="56"/>
      <x:c r="O48" s="56"/>
      <x:c r="P48" s="56"/>
      <x:c r="Q48" s="56"/>
    </x:row>
    <x:row r="49">
      <x:c r="A49" s="56"/>
      <x:c r="B49" s="56"/>
      <x:c r="C49" s="56"/>
      <x:c r="D49" s="56"/>
      <x:c r="E49" s="56"/>
      <x:c r="F49" s="56"/>
      <x:c r="G49" s="56"/>
      <x:c r="H49" s="56"/>
      <x:c r="I49" s="56"/>
      <x:c r="J49" s="56"/>
      <x:c r="K49" s="56"/>
      <x:c r="L49" s="56"/>
      <x:c r="M49" s="56"/>
      <x:c r="N49" s="56"/>
      <x:c r="O49" s="56"/>
      <x:c r="P49" s="56"/>
      <x:c r="Q49" s="56"/>
    </x:row>
    <x:row r="50">
      <x:c r="A50" s="56"/>
      <x:c r="B50" s="56"/>
      <x:c r="C50" s="56"/>
      <x:c r="D50" s="56"/>
      <x:c r="E50" s="56"/>
      <x:c r="F50" s="56"/>
      <x:c r="G50" s="56"/>
      <x:c r="H50" s="56"/>
      <x:c r="I50" s="56"/>
      <x:c r="J50" s="56"/>
      <x:c r="K50" s="56"/>
      <x:c r="L50" s="56"/>
      <x:c r="M50" s="56"/>
      <x:c r="N50" s="56"/>
      <x:c r="O50" s="56"/>
      <x:c r="P50" s="56"/>
      <x:c r="Q50" s="56"/>
    </x:row>
    <x:row r="51">
      <x:c r="A51" s="56"/>
      <x:c r="B51" s="56"/>
      <x:c r="C51" s="56"/>
      <x:c r="D51" s="56"/>
      <x:c r="E51" s="56"/>
      <x:c r="F51" s="56"/>
      <x:c r="G51" s="56"/>
      <x:c r="H51" s="56"/>
      <x:c r="I51" s="56"/>
      <x:c r="J51" s="56"/>
      <x:c r="K51" s="56"/>
      <x:c r="L51" s="56"/>
      <x:c r="M51" s="56"/>
      <x:c r="N51" s="56"/>
      <x:c r="O51" s="56"/>
      <x:c r="P51" s="56"/>
      <x:c r="Q51" s="56"/>
    </x:row>
    <x:row r="52">
      <x:c r="A52" s="56"/>
      <x:c r="B52" s="56"/>
      <x:c r="C52" s="56"/>
      <x:c r="D52" s="56"/>
      <x:c r="E52" s="56"/>
      <x:c r="F52" s="56"/>
      <x:c r="G52" s="56"/>
      <x:c r="H52" s="56"/>
      <x:c r="I52" s="56"/>
      <x:c r="J52" s="56"/>
      <x:c r="K52" s="56"/>
      <x:c r="L52" s="56"/>
      <x:c r="M52" s="56"/>
      <x:c r="N52" s="56"/>
      <x:c r="O52" s="56"/>
      <x:c r="P52" s="56"/>
      <x:c r="Q52" s="56"/>
    </x:row>
    <x:row r="53">
      <x:c r="A53" s="56"/>
      <x:c r="B53" s="56"/>
      <x:c r="C53" s="56"/>
      <x:c r="D53" s="56"/>
      <x:c r="E53" s="56"/>
      <x:c r="F53" s="56"/>
      <x:c r="G53" s="56"/>
      <x:c r="H53" s="56"/>
      <x:c r="I53" s="56"/>
      <x:c r="J53" s="56"/>
      <x:c r="K53" s="56"/>
      <x:c r="L53" s="56"/>
      <x:c r="M53" s="56"/>
      <x:c r="N53" s="56"/>
      <x:c r="O53" s="56"/>
      <x:c r="P53" s="56"/>
      <x:c r="Q53" s="56"/>
    </x:row>
    <x:row r="54">
      <x:c r="A54" s="56"/>
      <x:c r="B54" s="56"/>
      <x:c r="C54" s="56"/>
      <x:c r="D54" s="56"/>
      <x:c r="E54" s="56"/>
      <x:c r="F54" s="56"/>
      <x:c r="G54" s="56"/>
      <x:c r="H54" s="56"/>
      <x:c r="I54" s="56"/>
      <x:c r="J54" s="56"/>
      <x:c r="K54" s="56"/>
      <x:c r="L54" s="56"/>
      <x:c r="M54" s="56"/>
      <x:c r="N54" s="56"/>
      <x:c r="O54" s="56"/>
      <x:c r="P54" s="56"/>
      <x:c r="Q54" s="56"/>
    </x:row>
    <x:row r="55">
      <x:c r="A55" s="56"/>
      <x:c r="B55" s="56"/>
      <x:c r="C55" s="56"/>
      <x:c r="D55" s="56"/>
      <x:c r="E55" s="56"/>
      <x:c r="F55" s="56"/>
      <x:c r="G55" s="56"/>
      <x:c r="H55" s="56"/>
      <x:c r="I55" s="56"/>
      <x:c r="J55" s="56"/>
      <x:c r="K55" s="56"/>
      <x:c r="L55" s="56"/>
      <x:c r="M55" s="56"/>
      <x:c r="N55" s="56"/>
      <x:c r="O55" s="56"/>
      <x:c r="P55" s="56"/>
      <x:c r="Q55" s="56"/>
    </x:row>
    <x:row r="56">
      <x:c r="A56" s="56"/>
      <x:c r="B56" s="56"/>
      <x:c r="C56" s="56"/>
      <x:c r="D56" s="56"/>
      <x:c r="E56" s="56"/>
      <x:c r="F56" s="56"/>
      <x:c r="G56" s="56"/>
      <x:c r="H56" s="56"/>
      <x:c r="I56" s="56"/>
      <x:c r="J56" s="56"/>
      <x:c r="K56" s="56"/>
      <x:c r="L56" s="56"/>
      <x:c r="M56" s="56"/>
      <x:c r="N56" s="56"/>
      <x:c r="O56" s="56"/>
      <x:c r="P56" s="56"/>
      <x:c r="Q56" s="56"/>
    </x:row>
    <x:row r="57">
      <x:c r="A57" s="56"/>
      <x:c r="B57" s="56"/>
      <x:c r="C57" s="56"/>
      <x:c r="D57" s="56"/>
      <x:c r="E57" s="56"/>
      <x:c r="F57" s="56"/>
      <x:c r="G57" s="56"/>
      <x:c r="H57" s="56"/>
      <x:c r="I57" s="56"/>
      <x:c r="J57" s="56"/>
      <x:c r="K57" s="56"/>
      <x:c r="L57" s="56"/>
      <x:c r="M57" s="56"/>
      <x:c r="N57" s="56"/>
      <x:c r="O57" s="56"/>
      <x:c r="P57" s="56"/>
      <x:c r="Q57" s="56"/>
    </x:row>
    <x:row r="58">
      <x:c r="A58" s="56"/>
      <x:c r="B58" s="56"/>
      <x:c r="C58" s="56"/>
      <x:c r="D58" s="56"/>
      <x:c r="E58" s="56"/>
      <x:c r="F58" s="56"/>
      <x:c r="G58" s="56"/>
      <x:c r="H58" s="56"/>
      <x:c r="I58" s="56"/>
      <x:c r="J58" s="56"/>
      <x:c r="K58" s="56"/>
      <x:c r="L58" s="56"/>
      <x:c r="M58" s="56"/>
      <x:c r="N58" s="56"/>
      <x:c r="O58" s="56"/>
      <x:c r="P58" s="56"/>
      <x:c r="Q58" s="56"/>
    </x:row>
    <x:row r="59">
      <x:c r="A59" s="56"/>
      <x:c r="B59" s="56"/>
      <x:c r="C59" s="56"/>
      <x:c r="D59" s="56"/>
      <x:c r="E59" s="56"/>
      <x:c r="F59" s="56"/>
      <x:c r="G59" s="56"/>
      <x:c r="H59" s="56"/>
      <x:c r="I59" s="56"/>
      <x:c r="J59" s="56"/>
      <x:c r="K59" s="56"/>
      <x:c r="L59" s="56"/>
      <x:c r="M59" s="56"/>
      <x:c r="N59" s="56"/>
      <x:c r="O59" s="56"/>
      <x:c r="P59" s="56"/>
      <x:c r="Q59" s="56"/>
    </x:row>
    <x:row r="60">
      <x:c r="A60" s="56"/>
      <x:c r="B60" s="56"/>
      <x:c r="C60" s="56"/>
      <x:c r="D60" s="56"/>
      <x:c r="E60" s="56"/>
      <x:c r="F60" s="56"/>
      <x:c r="G60" s="56"/>
      <x:c r="H60" s="56"/>
      <x:c r="I60" s="56"/>
      <x:c r="J60" s="56"/>
      <x:c r="K60" s="56"/>
      <x:c r="L60" s="56"/>
      <x:c r="M60" s="56"/>
      <x:c r="N60" s="56"/>
      <x:c r="O60" s="56"/>
      <x:c r="P60" s="56"/>
      <x:c r="Q60" s="56"/>
    </x:row>
    <x:row r="61">
      <x:c r="A61" s="56"/>
      <x:c r="B61" s="56"/>
      <x:c r="C61" s="56"/>
      <x:c r="D61" s="56"/>
      <x:c r="E61" s="56"/>
      <x:c r="F61" s="56"/>
      <x:c r="G61" s="56"/>
      <x:c r="H61" s="56"/>
      <x:c r="I61" s="56"/>
      <x:c r="J61" s="56"/>
      <x:c r="K61" s="56"/>
      <x:c r="L61" s="56"/>
      <x:c r="M61" s="56"/>
      <x:c r="N61" s="56"/>
      <x:c r="O61" s="56"/>
      <x:c r="P61" s="56"/>
      <x:c r="Q61" s="56"/>
    </x:row>
    <x:row r="62">
      <x:c r="A62" s="56"/>
      <x:c r="B62" s="56"/>
      <x:c r="C62" s="56"/>
      <x:c r="D62" s="56"/>
      <x:c r="E62" s="56"/>
      <x:c r="F62" s="56"/>
      <x:c r="G62" s="56"/>
      <x:c r="H62" s="56"/>
      <x:c r="I62" s="56"/>
      <x:c r="J62" s="56"/>
      <x:c r="K62" s="56"/>
      <x:c r="L62" s="56"/>
      <x:c r="M62" s="56"/>
      <x:c r="N62" s="56"/>
      <x:c r="O62" s="56"/>
      <x:c r="P62" s="56"/>
      <x:c r="Q62" s="56"/>
    </x:row>
    <x:row r="63">
      <x:c r="A63" s="56"/>
      <x:c r="B63" s="56"/>
      <x:c r="C63" s="56"/>
      <x:c r="D63" s="56"/>
      <x:c r="E63" s="56"/>
      <x:c r="F63" s="56"/>
      <x:c r="G63" s="56"/>
      <x:c r="H63" s="56"/>
      <x:c r="I63" s="56"/>
      <x:c r="J63" s="56"/>
      <x:c r="K63" s="56"/>
      <x:c r="L63" s="56"/>
      <x:c r="M63" s="56"/>
      <x:c r="N63" s="56"/>
      <x:c r="O63" s="56"/>
      <x:c r="P63" s="56"/>
      <x:c r="Q63" s="56"/>
    </x:row>
    <x:row r="64">
      <x:c r="A64" s="56"/>
      <x:c r="B64" s="56"/>
      <x:c r="C64" s="56"/>
      <x:c r="D64" s="56"/>
      <x:c r="E64" s="56"/>
      <x:c r="F64" s="56"/>
      <x:c r="G64" s="56"/>
      <x:c r="H64" s="56"/>
      <x:c r="I64" s="56"/>
      <x:c r="J64" s="56"/>
      <x:c r="K64" s="56"/>
      <x:c r="L64" s="56"/>
      <x:c r="M64" s="56"/>
      <x:c r="N64" s="56"/>
      <x:c r="O64" s="56"/>
      <x:c r="P64" s="56"/>
      <x:c r="Q64" s="56"/>
    </x:row>
    <x:row r="65">
      <x:c r="A65" s="56"/>
      <x:c r="B65" s="56"/>
      <x:c r="C65" s="56"/>
      <x:c r="D65" s="56"/>
      <x:c r="E65" s="56"/>
      <x:c r="F65" s="56"/>
      <x:c r="G65" s="56"/>
      <x:c r="H65" s="56"/>
      <x:c r="I65" s="56"/>
      <x:c r="J65" s="56"/>
      <x:c r="K65" s="56"/>
      <x:c r="L65" s="56"/>
      <x:c r="M65" s="56"/>
      <x:c r="N65" s="56"/>
      <x:c r="O65" s="56"/>
      <x:c r="P65" s="56"/>
      <x:c r="Q65" s="56"/>
    </x:row>
    <x:row r="66">
      <x:c r="A66" s="56"/>
      <x:c r="B66" s="56"/>
      <x:c r="C66" s="56"/>
      <x:c r="D66" s="56"/>
      <x:c r="E66" s="56"/>
      <x:c r="F66" s="56"/>
      <x:c r="G66" s="56"/>
      <x:c r="H66" s="56"/>
      <x:c r="I66" s="56"/>
      <x:c r="J66" s="56"/>
      <x:c r="K66" s="56"/>
      <x:c r="L66" s="56"/>
      <x:c r="M66" s="56"/>
      <x:c r="N66" s="56"/>
      <x:c r="O66" s="56"/>
      <x:c r="P66" s="56"/>
      <x:c r="Q66" s="56"/>
    </x:row>
    <x:row r="67">
      <x:c r="A67" s="56"/>
      <x:c r="B67" s="56"/>
      <x:c r="C67" s="56"/>
      <x:c r="D67" s="56"/>
      <x:c r="E67" s="56"/>
      <x:c r="F67" s="56"/>
      <x:c r="G67" s="56"/>
      <x:c r="H67" s="56"/>
      <x:c r="I67" s="56"/>
      <x:c r="J67" s="56"/>
      <x:c r="K67" s="56"/>
      <x:c r="L67" s="56"/>
      <x:c r="M67" s="56"/>
      <x:c r="N67" s="56"/>
      <x:c r="O67" s="56"/>
      <x:c r="P67" s="56"/>
      <x:c r="Q67" s="56"/>
    </x:row>
    <x:row r="68">
      <x:c r="A68" s="56"/>
      <x:c r="B68" s="56"/>
      <x:c r="C68" s="56"/>
      <x:c r="D68" s="56"/>
      <x:c r="E68" s="56"/>
      <x:c r="F68" s="56"/>
      <x:c r="G68" s="56"/>
      <x:c r="H68" s="56"/>
      <x:c r="I68" s="56"/>
      <x:c r="J68" s="56"/>
      <x:c r="K68" s="56"/>
      <x:c r="L68" s="56"/>
      <x:c r="M68" s="56"/>
      <x:c r="N68" s="56"/>
      <x:c r="O68" s="56"/>
      <x:c r="P68" s="56"/>
      <x:c r="Q68" s="56"/>
    </x:row>
    <x:row r="69">
      <x:c r="A69" s="56"/>
      <x:c r="B69" s="56"/>
      <x:c r="C69" s="56"/>
      <x:c r="D69" s="56"/>
      <x:c r="E69" s="56"/>
      <x:c r="F69" s="56"/>
      <x:c r="G69" s="56"/>
      <x:c r="H69" s="56"/>
      <x:c r="I69" s="56"/>
      <x:c r="J69" s="56"/>
      <x:c r="K69" s="56"/>
      <x:c r="L69" s="56"/>
      <x:c r="M69" s="56"/>
      <x:c r="N69" s="56"/>
      <x:c r="O69" s="56"/>
      <x:c r="P69" s="56"/>
      <x:c r="Q69" s="56"/>
    </x:row>
    <x:row r="70">
      <x:c r="A70" s="56"/>
      <x:c r="B70" s="56"/>
      <x:c r="C70" s="56"/>
      <x:c r="D70" s="56"/>
      <x:c r="E70" s="56"/>
      <x:c r="F70" s="56"/>
      <x:c r="G70" s="56"/>
      <x:c r="H70" s="56"/>
      <x:c r="I70" s="56"/>
      <x:c r="J70" s="56"/>
      <x:c r="K70" s="56"/>
      <x:c r="L70" s="56"/>
      <x:c r="M70" s="56"/>
      <x:c r="N70" s="56"/>
      <x:c r="O70" s="56"/>
      <x:c r="P70" s="56"/>
      <x:c r="Q70" s="56"/>
    </x:row>
    <x:row r="71">
      <x:c r="A71" s="56"/>
      <x:c r="B71" s="56"/>
      <x:c r="C71" s="56"/>
      <x:c r="D71" s="56"/>
      <x:c r="E71" s="56"/>
      <x:c r="F71" s="56"/>
      <x:c r="G71" s="56"/>
      <x:c r="H71" s="56"/>
      <x:c r="I71" s="56"/>
      <x:c r="J71" s="56"/>
      <x:c r="K71" s="56"/>
      <x:c r="L71" s="56"/>
      <x:c r="M71" s="56"/>
      <x:c r="N71" s="56"/>
      <x:c r="O71" s="56"/>
      <x:c r="P71" s="56"/>
      <x:c r="Q71" s="56"/>
    </x:row>
    <x:row r="72">
      <x:c r="A72" s="56"/>
      <x:c r="B72" s="56"/>
      <x:c r="C72" s="56"/>
      <x:c r="D72" s="56"/>
      <x:c r="E72" s="56"/>
      <x:c r="F72" s="56"/>
      <x:c r="G72" s="56"/>
      <x:c r="H72" s="56"/>
      <x:c r="I72" s="56"/>
      <x:c r="J72" s="56"/>
      <x:c r="K72" s="56"/>
      <x:c r="L72" s="56"/>
      <x:c r="M72" s="56"/>
      <x:c r="N72" s="56"/>
      <x:c r="O72" s="56"/>
      <x:c r="P72" s="56"/>
      <x:c r="Q72" s="56"/>
    </x:row>
    <x:row r="73">
      <x:c r="A73" s="56"/>
      <x:c r="B73" s="56"/>
      <x:c r="C73" s="56"/>
      <x:c r="D73" s="56"/>
      <x:c r="E73" s="56"/>
      <x:c r="F73" s="56"/>
      <x:c r="G73" s="56"/>
      <x:c r="H73" s="56"/>
      <x:c r="I73" s="56"/>
      <x:c r="J73" s="56"/>
      <x:c r="K73" s="56"/>
      <x:c r="L73" s="56"/>
      <x:c r="M73" s="56"/>
      <x:c r="N73" s="56"/>
      <x:c r="O73" s="56"/>
      <x:c r="P73" s="56"/>
      <x:c r="Q73" s="56"/>
    </x:row>
    <x:row r="74">
      <x:c r="A74" s="56"/>
      <x:c r="B74" s="56"/>
      <x:c r="C74" s="56"/>
      <x:c r="D74" s="56"/>
      <x:c r="E74" s="56"/>
      <x:c r="F74" s="56"/>
      <x:c r="G74" s="56"/>
      <x:c r="H74" s="56"/>
      <x:c r="I74" s="56"/>
      <x:c r="J74" s="56"/>
      <x:c r="K74" s="56"/>
      <x:c r="L74" s="56"/>
      <x:c r="M74" s="56"/>
      <x:c r="N74" s="56"/>
      <x:c r="O74" s="56"/>
      <x:c r="P74" s="56"/>
      <x:c r="Q74" s="56"/>
    </x:row>
    <x:row r="75">
      <x:c r="A75" s="56"/>
      <x:c r="B75" s="56"/>
      <x:c r="C75" s="56"/>
      <x:c r="D75" s="56"/>
      <x:c r="E75" s="56"/>
      <x:c r="F75" s="56"/>
      <x:c r="G75" s="56"/>
      <x:c r="H75" s="56"/>
      <x:c r="I75" s="56"/>
      <x:c r="J75" s="56"/>
      <x:c r="K75" s="56"/>
      <x:c r="L75" s="56"/>
      <x:c r="M75" s="56"/>
      <x:c r="N75" s="56"/>
      <x:c r="O75" s="56"/>
      <x:c r="P75" s="56"/>
      <x:c r="Q75" s="56"/>
    </x:row>
    <x:row r="76">
      <x:c r="A76" s="56"/>
      <x:c r="B76" s="56"/>
      <x:c r="C76" s="56"/>
      <x:c r="D76" s="56"/>
      <x:c r="E76" s="56"/>
      <x:c r="F76" s="56"/>
      <x:c r="G76" s="56"/>
      <x:c r="H76" s="56"/>
      <x:c r="I76" s="56"/>
      <x:c r="J76" s="56"/>
      <x:c r="K76" s="56"/>
      <x:c r="L76" s="56"/>
      <x:c r="M76" s="56"/>
      <x:c r="N76" s="56"/>
      <x:c r="O76" s="56"/>
      <x:c r="P76" s="56"/>
      <x:c r="Q76" s="56"/>
    </x:row>
    <x:row r="77">
      <x:c r="A77" s="56"/>
      <x:c r="B77" s="56"/>
      <x:c r="C77" s="56"/>
      <x:c r="D77" s="56"/>
      <x:c r="E77" s="56"/>
      <x:c r="F77" s="56"/>
      <x:c r="G77" s="56"/>
      <x:c r="H77" s="56"/>
      <x:c r="I77" s="56"/>
      <x:c r="J77" s="56"/>
      <x:c r="K77" s="56"/>
      <x:c r="L77" s="56"/>
      <x:c r="M77" s="56"/>
      <x:c r="N77" s="56"/>
      <x:c r="O77" s="56"/>
      <x:c r="P77" s="56"/>
      <x:c r="Q77" s="56"/>
    </x:row>
    <x:row r="78">
      <x:c r="A78" s="56"/>
      <x:c r="B78" s="56"/>
      <x:c r="C78" s="56"/>
      <x:c r="D78" s="56"/>
      <x:c r="E78" s="56"/>
      <x:c r="F78" s="56"/>
      <x:c r="G78" s="56"/>
      <x:c r="H78" s="56"/>
      <x:c r="I78" s="56"/>
      <x:c r="J78" s="56"/>
      <x:c r="K78" s="56"/>
      <x:c r="L78" s="56"/>
      <x:c r="M78" s="56"/>
      <x:c r="N78" s="56"/>
      <x:c r="O78" s="56"/>
      <x:c r="P78" s="56"/>
      <x:c r="Q78" s="56"/>
    </x:row>
    <x:row r="79">
      <x:c r="A79" s="56"/>
      <x:c r="B79" s="56"/>
      <x:c r="C79" s="56"/>
      <x:c r="D79" s="56"/>
      <x:c r="E79" s="56"/>
      <x:c r="F79" s="56"/>
      <x:c r="G79" s="56"/>
      <x:c r="H79" s="56"/>
      <x:c r="I79" s="56"/>
      <x:c r="J79" s="56"/>
      <x:c r="K79" s="56"/>
      <x:c r="L79" s="56"/>
      <x:c r="M79" s="56"/>
      <x:c r="N79" s="56"/>
      <x:c r="O79" s="56"/>
      <x:c r="P79" s="56"/>
      <x:c r="Q79" s="56"/>
    </x:row>
    <x:row r="80">
      <x:c r="A80" s="56"/>
      <x:c r="B80" s="56"/>
      <x:c r="C80" s="56"/>
      <x:c r="D80" s="56"/>
      <x:c r="E80" s="56"/>
      <x:c r="F80" s="56"/>
      <x:c r="G80" s="56"/>
      <x:c r="H80" s="56"/>
      <x:c r="I80" s="56"/>
      <x:c r="J80" s="56"/>
      <x:c r="K80" s="56"/>
      <x:c r="L80" s="56"/>
      <x:c r="M80" s="56"/>
      <x:c r="N80" s="56"/>
      <x:c r="O80" s="56"/>
      <x:c r="P80" s="56"/>
      <x:c r="Q80" s="56"/>
    </x:row>
    <x:row r="81">
      <x:c r="A81" s="56"/>
      <x:c r="B81" s="56"/>
      <x:c r="C81" s="56"/>
      <x:c r="D81" s="56"/>
      <x:c r="E81" s="56"/>
      <x:c r="F81" s="56"/>
      <x:c r="G81" s="56"/>
      <x:c r="H81" s="56"/>
      <x:c r="I81" s="56"/>
      <x:c r="J81" s="56"/>
      <x:c r="K81" s="56"/>
      <x:c r="L81" s="56"/>
      <x:c r="M81" s="56"/>
      <x:c r="N81" s="56"/>
      <x:c r="O81" s="56"/>
      <x:c r="P81" s="56"/>
      <x:c r="Q81" s="56"/>
    </x:row>
    <x:row r="82">
      <x:c r="A82" s="56"/>
      <x:c r="B82" s="56"/>
      <x:c r="C82" s="56"/>
      <x:c r="D82" s="56"/>
      <x:c r="E82" s="56"/>
      <x:c r="F82" s="56"/>
      <x:c r="G82" s="56"/>
      <x:c r="H82" s="56"/>
      <x:c r="I82" s="56"/>
      <x:c r="J82" s="56"/>
      <x:c r="K82" s="56"/>
      <x:c r="L82" s="56"/>
      <x:c r="M82" s="56"/>
      <x:c r="N82" s="56"/>
      <x:c r="O82" s="56"/>
      <x:c r="P82" s="56"/>
      <x:c r="Q82" s="56"/>
    </x:row>
    <x:row r="83">
      <x:c r="A83" s="56"/>
      <x:c r="B83" s="56"/>
      <x:c r="C83" s="56"/>
      <x:c r="D83" s="56"/>
      <x:c r="E83" s="56"/>
      <x:c r="F83" s="56"/>
      <x:c r="G83" s="56"/>
      <x:c r="H83" s="56"/>
      <x:c r="I83" s="56"/>
      <x:c r="J83" s="56"/>
      <x:c r="K83" s="56"/>
      <x:c r="L83" s="56"/>
      <x:c r="M83" s="56"/>
      <x:c r="N83" s="56"/>
      <x:c r="O83" s="56"/>
      <x:c r="P83" s="56"/>
      <x:c r="Q83" s="56"/>
    </x:row>
    <x:row r="84">
      <x:c r="A84" s="56"/>
      <x:c r="B84" s="56"/>
      <x:c r="C84" s="56"/>
      <x:c r="D84" s="56"/>
      <x:c r="E84" s="56"/>
      <x:c r="F84" s="56"/>
      <x:c r="G84" s="56"/>
      <x:c r="H84" s="56"/>
      <x:c r="I84" s="56"/>
      <x:c r="J84" s="56"/>
      <x:c r="K84" s="56"/>
      <x:c r="L84" s="56"/>
      <x:c r="M84" s="56"/>
      <x:c r="N84" s="56"/>
      <x:c r="O84" s="56"/>
      <x:c r="P84" s="56"/>
      <x:c r="Q84" s="56"/>
    </x:row>
    <x:row r="85">
      <x:c r="A85" s="56"/>
      <x:c r="B85" s="56"/>
      <x:c r="C85" s="56"/>
      <x:c r="D85" s="56"/>
      <x:c r="E85" s="56"/>
      <x:c r="F85" s="56"/>
      <x:c r="G85" s="56"/>
      <x:c r="H85" s="56"/>
      <x:c r="I85" s="56"/>
      <x:c r="J85" s="56"/>
      <x:c r="K85" s="56"/>
      <x:c r="L85" s="56"/>
      <x:c r="M85" s="56"/>
      <x:c r="N85" s="56"/>
      <x:c r="O85" s="56"/>
      <x:c r="P85" s="56"/>
      <x:c r="Q85" s="56"/>
    </x:row>
    <x:row r="86">
      <x:c r="A86" s="56"/>
      <x:c r="B86" s="56"/>
      <x:c r="C86" s="56"/>
      <x:c r="D86" s="56"/>
      <x:c r="E86" s="56"/>
      <x:c r="F86" s="56"/>
      <x:c r="G86" s="56"/>
      <x:c r="H86" s="56"/>
      <x:c r="I86" s="56"/>
      <x:c r="J86" s="56"/>
      <x:c r="K86" s="56"/>
      <x:c r="L86" s="56"/>
      <x:c r="M86" s="56"/>
      <x:c r="N86" s="56"/>
      <x:c r="O86" s="56"/>
      <x:c r="P86" s="56"/>
      <x:c r="Q86" s="56"/>
    </x:row>
    <x:row r="87">
      <x:c r="A87" s="56"/>
      <x:c r="B87" s="56"/>
      <x:c r="C87" s="56"/>
      <x:c r="D87" s="56"/>
      <x:c r="E87" s="56"/>
      <x:c r="F87" s="56"/>
      <x:c r="G87" s="56"/>
      <x:c r="H87" s="56"/>
      <x:c r="I87" s="56"/>
      <x:c r="J87" s="56"/>
      <x:c r="K87" s="56"/>
      <x:c r="L87" s="56"/>
      <x:c r="M87" s="56"/>
      <x:c r="N87" s="56"/>
      <x:c r="O87" s="56"/>
      <x:c r="P87" s="56"/>
      <x:c r="Q87" s="56"/>
    </x:row>
    <x:row r="88">
      <x:c r="A88" s="56"/>
      <x:c r="B88" s="56"/>
      <x:c r="C88" s="56"/>
      <x:c r="D88" s="56"/>
      <x:c r="E88" s="56"/>
      <x:c r="F88" s="56"/>
      <x:c r="G88" s="56"/>
      <x:c r="H88" s="56"/>
      <x:c r="I88" s="56"/>
      <x:c r="J88" s="56"/>
      <x:c r="K88" s="56"/>
      <x:c r="L88" s="56"/>
      <x:c r="M88" s="56"/>
      <x:c r="N88" s="56"/>
      <x:c r="O88" s="56"/>
      <x:c r="P88" s="56"/>
      <x:c r="Q88" s="56"/>
    </x:row>
    <x:row r="89">
      <x:c r="A89" s="56"/>
      <x:c r="B89" s="56"/>
      <x:c r="C89" s="56"/>
      <x:c r="D89" s="56"/>
      <x:c r="E89" s="56"/>
      <x:c r="F89" s="56"/>
      <x:c r="G89" s="56"/>
      <x:c r="H89" s="56"/>
      <x:c r="I89" s="56"/>
      <x:c r="J89" s="56"/>
      <x:c r="K89" s="56"/>
      <x:c r="L89" s="56"/>
      <x:c r="M89" s="56"/>
      <x:c r="N89" s="56"/>
      <x:c r="O89" s="56"/>
      <x:c r="P89" s="56"/>
      <x:c r="Q89" s="56"/>
    </x:row>
    <x:row r="90">
      <x:c r="A90" s="56"/>
      <x:c r="B90" s="56"/>
      <x:c r="C90" s="56"/>
      <x:c r="D90" s="56"/>
      <x:c r="E90" s="56"/>
      <x:c r="F90" s="56"/>
      <x:c r="G90" s="56"/>
      <x:c r="H90" s="56"/>
      <x:c r="I90" s="56"/>
      <x:c r="J90" s="56"/>
      <x:c r="K90" s="56"/>
      <x:c r="L90" s="56"/>
      <x:c r="M90" s="56"/>
      <x:c r="N90" s="56"/>
      <x:c r="O90" s="56"/>
      <x:c r="P90" s="56"/>
      <x:c r="Q90" s="56"/>
    </x:row>
    <x:row r="91">
      <x:c r="A91" s="56"/>
      <x:c r="B91" s="56"/>
      <x:c r="C91" s="56"/>
      <x:c r="D91" s="56"/>
      <x:c r="E91" s="56"/>
      <x:c r="F91" s="56"/>
      <x:c r="G91" s="56"/>
      <x:c r="H91" s="56"/>
      <x:c r="I91" s="56"/>
      <x:c r="J91" s="56"/>
      <x:c r="K91" s="56"/>
      <x:c r="L91" s="56"/>
      <x:c r="M91" s="56"/>
      <x:c r="N91" s="56"/>
      <x:c r="O91" s="56"/>
      <x:c r="P91" s="56"/>
      <x:c r="Q91" s="56"/>
    </x:row>
    <x:row r="92">
      <x:c r="A92" s="56"/>
      <x:c r="B92" s="56"/>
      <x:c r="C92" s="56"/>
      <x:c r="D92" s="56"/>
      <x:c r="E92" s="56"/>
      <x:c r="F92" s="56"/>
      <x:c r="G92" s="56"/>
      <x:c r="H92" s="56"/>
      <x:c r="I92" s="56"/>
      <x:c r="J92" s="56"/>
      <x:c r="K92" s="56"/>
      <x:c r="L92" s="56"/>
      <x:c r="M92" s="56"/>
      <x:c r="N92" s="56"/>
      <x:c r="O92" s="56"/>
      <x:c r="P92" s="56"/>
      <x:c r="Q92" s="56"/>
    </x:row>
    <x:row r="93">
      <x:c r="A93" s="56"/>
      <x:c r="B93" s="56"/>
      <x:c r="C93" s="56"/>
      <x:c r="D93" s="56"/>
      <x:c r="E93" s="56"/>
      <x:c r="F93" s="56"/>
      <x:c r="G93" s="56"/>
      <x:c r="H93" s="56"/>
      <x:c r="I93" s="56"/>
      <x:c r="J93" s="56"/>
      <x:c r="K93" s="56"/>
      <x:c r="L93" s="56"/>
      <x:c r="M93" s="56"/>
      <x:c r="N93" s="56"/>
      <x:c r="O93" s="56"/>
      <x:c r="P93" s="56"/>
      <x:c r="Q93" s="56"/>
    </x:row>
    <x:row r="94">
      <x:c r="A94" s="56"/>
      <x:c r="B94" s="56"/>
      <x:c r="C94" s="56"/>
      <x:c r="D94" s="56"/>
      <x:c r="E94" s="56"/>
      <x:c r="F94" s="56"/>
      <x:c r="G94" s="56"/>
      <x:c r="H94" s="56"/>
      <x:c r="I94" s="56"/>
      <x:c r="J94" s="56"/>
      <x:c r="K94" s="56"/>
      <x:c r="L94" s="56"/>
      <x:c r="M94" s="56"/>
      <x:c r="N94" s="56"/>
      <x:c r="O94" s="56"/>
      <x:c r="P94" s="56"/>
      <x:c r="Q94" s="56"/>
    </x:row>
    <x:row r="95">
      <x:c r="A95" s="56"/>
      <x:c r="B95" s="56"/>
      <x:c r="C95" s="56"/>
      <x:c r="D95" s="56"/>
      <x:c r="E95" s="56"/>
      <x:c r="F95" s="56"/>
      <x:c r="G95" s="56"/>
      <x:c r="H95" s="56"/>
      <x:c r="I95" s="56"/>
      <x:c r="J95" s="56"/>
      <x:c r="K95" s="56"/>
      <x:c r="L95" s="56"/>
      <x:c r="M95" s="56"/>
      <x:c r="N95" s="56"/>
      <x:c r="O95" s="56"/>
      <x:c r="P95" s="56"/>
      <x:c r="Q95" s="56"/>
    </x:row>
    <x:row r="96">
      <x:c r="A96" s="56"/>
      <x:c r="B96" s="56"/>
      <x:c r="C96" s="56"/>
      <x:c r="D96" s="56"/>
      <x:c r="E96" s="56"/>
      <x:c r="F96" s="56"/>
      <x:c r="G96" s="56"/>
      <x:c r="H96" s="56"/>
      <x:c r="I96" s="56"/>
      <x:c r="J96" s="56"/>
      <x:c r="K96" s="56"/>
      <x:c r="L96" s="56"/>
      <x:c r="M96" s="56"/>
      <x:c r="N96" s="56"/>
      <x:c r="O96" s="56"/>
      <x:c r="P96" s="56"/>
      <x:c r="Q96" s="56"/>
    </x:row>
    <x:row r="97">
      <x:c r="A97" s="56"/>
      <x:c r="B97" s="56"/>
      <x:c r="C97" s="56"/>
      <x:c r="D97" s="56"/>
      <x:c r="E97" s="56"/>
      <x:c r="F97" s="56"/>
      <x:c r="G97" s="56"/>
      <x:c r="H97" s="56"/>
      <x:c r="I97" s="56"/>
      <x:c r="J97" s="56"/>
      <x:c r="K97" s="56"/>
      <x:c r="L97" s="56"/>
      <x:c r="M97" s="56"/>
      <x:c r="N97" s="56"/>
      <x:c r="O97" s="56"/>
      <x:c r="P97" s="56"/>
      <x:c r="Q97" s="56"/>
    </x:row>
    <x:row r="98">
      <x:c r="A98" s="56"/>
      <x:c r="B98" s="56"/>
      <x:c r="C98" s="56"/>
      <x:c r="D98" s="56"/>
      <x:c r="E98" s="56"/>
      <x:c r="F98" s="56"/>
      <x:c r="G98" s="56"/>
      <x:c r="H98" s="56"/>
      <x:c r="I98" s="56"/>
      <x:c r="J98" s="56"/>
      <x:c r="K98" s="56"/>
      <x:c r="L98" s="56"/>
      <x:c r="M98" s="56"/>
      <x:c r="N98" s="56"/>
      <x:c r="O98" s="56"/>
      <x:c r="P98" s="56"/>
      <x:c r="Q98" s="56"/>
    </x:row>
    <x:row r="99">
      <x:c r="A99" s="56"/>
      <x:c r="B99" s="56"/>
      <x:c r="C99" s="56"/>
      <x:c r="D99" s="56"/>
      <x:c r="E99" s="56"/>
      <x:c r="F99" s="56"/>
      <x:c r="G99" s="56"/>
      <x:c r="H99" s="56"/>
      <x:c r="I99" s="56"/>
      <x:c r="J99" s="56"/>
      <x:c r="K99" s="56"/>
      <x:c r="L99" s="56"/>
      <x:c r="M99" s="56"/>
      <x:c r="N99" s="56"/>
      <x:c r="O99" s="56"/>
      <x:c r="P99" s="56"/>
      <x:c r="Q99" s="56"/>
    </x:row>
    <x:row r="100">
      <x:c r="A100" s="56"/>
      <x:c r="B100" s="56"/>
      <x:c r="C100" s="56"/>
      <x:c r="D100" s="56"/>
      <x:c r="E100" s="56"/>
      <x:c r="F100" s="56"/>
      <x:c r="G100" s="56"/>
      <x:c r="H100" s="56"/>
      <x:c r="I100" s="56"/>
      <x:c r="J100" s="56"/>
      <x:c r="K100" s="56"/>
      <x:c r="L100" s="56"/>
      <x:c r="M100" s="56"/>
      <x:c r="N100" s="56"/>
      <x:c r="O100" s="56"/>
      <x:c r="P100" s="56"/>
      <x:c r="Q100" s="56"/>
    </x:row>
    <x:row r="101">
      <x:c r="A101" s="56"/>
      <x:c r="B101" s="56"/>
      <x:c r="C101" s="56"/>
      <x:c r="D101" s="56"/>
      <x:c r="E101" s="56"/>
      <x:c r="F101" s="56"/>
      <x:c r="G101" s="56"/>
      <x:c r="H101" s="56"/>
      <x:c r="I101" s="56"/>
      <x:c r="J101" s="56"/>
      <x:c r="K101" s="56"/>
      <x:c r="L101" s="56"/>
      <x:c r="M101" s="56"/>
      <x:c r="N101" s="56"/>
      <x:c r="O101" s="56"/>
      <x:c r="P101" s="56"/>
      <x:c r="Q101" s="56"/>
    </x:row>
    <x:row r="102">
      <x:c r="A102" s="56"/>
      <x:c r="B102" s="56"/>
      <x:c r="C102" s="56"/>
      <x:c r="D102" s="56"/>
      <x:c r="E102" s="56"/>
      <x:c r="F102" s="56"/>
      <x:c r="G102" s="56"/>
      <x:c r="H102" s="56"/>
      <x:c r="I102" s="56"/>
      <x:c r="J102" s="56"/>
      <x:c r="K102" s="56"/>
      <x:c r="L102" s="56"/>
      <x:c r="M102" s="56"/>
      <x:c r="N102" s="56"/>
      <x:c r="O102" s="56"/>
      <x:c r="P102" s="56"/>
      <x:c r="Q102" s="56"/>
    </x:row>
    <x:row r="103">
      <x:c r="A103" s="56"/>
      <x:c r="B103" s="56"/>
      <x:c r="C103" s="56"/>
      <x:c r="D103" s="56"/>
      <x:c r="E103" s="56"/>
      <x:c r="F103" s="56"/>
      <x:c r="G103" s="56"/>
      <x:c r="H103" s="56"/>
      <x:c r="I103" s="56"/>
      <x:c r="J103" s="56"/>
      <x:c r="K103" s="56"/>
      <x:c r="L103" s="56"/>
      <x:c r="M103" s="56"/>
      <x:c r="N103" s="56"/>
      <x:c r="O103" s="56"/>
      <x:c r="P103" s="56"/>
      <x:c r="Q103" s="56"/>
    </x:row>
    <x:row r="104">
      <x:c r="A104" s="56"/>
      <x:c r="B104" s="56"/>
      <x:c r="C104" s="56"/>
      <x:c r="D104" s="56"/>
      <x:c r="E104" s="56"/>
      <x:c r="F104" s="56"/>
      <x:c r="G104" s="56"/>
      <x:c r="H104" s="56"/>
      <x:c r="I104" s="56"/>
      <x:c r="J104" s="56"/>
      <x:c r="K104" s="56"/>
      <x:c r="L104" s="56"/>
      <x:c r="M104" s="56"/>
      <x:c r="N104" s="56"/>
      <x:c r="O104" s="56"/>
      <x:c r="P104" s="56"/>
      <x:c r="Q104" s="56"/>
    </x:row>
    <x:row r="105">
      <x:c r="A105" s="56"/>
      <x:c r="B105" s="56"/>
      <x:c r="C105" s="56"/>
      <x:c r="D105" s="56"/>
      <x:c r="E105" s="56"/>
      <x:c r="F105" s="56"/>
      <x:c r="G105" s="56"/>
      <x:c r="H105" s="56"/>
      <x:c r="I105" s="56"/>
      <x:c r="J105" s="56"/>
      <x:c r="K105" s="56"/>
      <x:c r="L105" s="56"/>
      <x:c r="M105" s="56"/>
      <x:c r="N105" s="56"/>
      <x:c r="O105" s="56"/>
      <x:c r="P105" s="56"/>
      <x:c r="Q105" s="56"/>
    </x:row>
    <x:row r="106">
      <x:c r="A106" s="56"/>
      <x:c r="B106" s="56"/>
      <x:c r="C106" s="56"/>
      <x:c r="D106" s="56"/>
      <x:c r="E106" s="56"/>
      <x:c r="F106" s="56"/>
      <x:c r="G106" s="56"/>
      <x:c r="H106" s="56"/>
      <x:c r="I106" s="56"/>
      <x:c r="J106" s="56"/>
      <x:c r="K106" s="56"/>
      <x:c r="L106" s="56"/>
      <x:c r="M106" s="56"/>
      <x:c r="N106" s="56"/>
      <x:c r="O106" s="56"/>
      <x:c r="P106" s="56"/>
      <x:c r="Q106" s="56"/>
    </x:row>
    <x:row r="107">
      <x:c r="A107" s="56"/>
      <x:c r="B107" s="56"/>
      <x:c r="C107" s="56"/>
      <x:c r="D107" s="56"/>
      <x:c r="E107" s="56"/>
      <x:c r="F107" s="56"/>
      <x:c r="G107" s="56"/>
      <x:c r="H107" s="56"/>
      <x:c r="I107" s="56"/>
      <x:c r="J107" s="56"/>
      <x:c r="K107" s="56"/>
      <x:c r="L107" s="56"/>
      <x:c r="M107" s="56"/>
      <x:c r="N107" s="56"/>
      <x:c r="O107" s="56"/>
      <x:c r="P107" s="56"/>
      <x:c r="Q107" s="56"/>
    </x:row>
    <x:row r="108">
      <x:c r="A108" s="56"/>
      <x:c r="B108" s="56"/>
      <x:c r="C108" s="56"/>
      <x:c r="D108" s="56"/>
      <x:c r="E108" s="56"/>
      <x:c r="F108" s="56"/>
      <x:c r="G108" s="56"/>
      <x:c r="H108" s="56"/>
      <x:c r="I108" s="56"/>
      <x:c r="J108" s="56"/>
      <x:c r="K108" s="56"/>
      <x:c r="L108" s="56"/>
      <x:c r="M108" s="56"/>
      <x:c r="N108" s="56"/>
      <x:c r="O108" s="56"/>
      <x:c r="P108" s="56"/>
      <x:c r="Q108" s="56"/>
    </x:row>
    <x:row r="109">
      <x:c r="A109" s="56"/>
      <x:c r="B109" s="56"/>
      <x:c r="C109" s="56"/>
      <x:c r="D109" s="56"/>
      <x:c r="E109" s="56"/>
      <x:c r="F109" s="56"/>
      <x:c r="G109" s="56"/>
      <x:c r="H109" s="56"/>
      <x:c r="I109" s="56"/>
      <x:c r="J109" s="56"/>
      <x:c r="K109" s="56"/>
      <x:c r="L109" s="56"/>
      <x:c r="M109" s="56"/>
      <x:c r="N109" s="56"/>
      <x:c r="O109" s="56"/>
      <x:c r="P109" s="56"/>
      <x:c r="Q109" s="56"/>
    </x:row>
    <x:row r="110">
      <x:c r="A110" s="56"/>
      <x:c r="B110" s="56"/>
      <x:c r="C110" s="56"/>
      <x:c r="D110" s="56"/>
      <x:c r="E110" s="56"/>
      <x:c r="F110" s="56"/>
      <x:c r="G110" s="56"/>
      <x:c r="H110" s="56"/>
      <x:c r="I110" s="56"/>
      <x:c r="J110" s="56"/>
      <x:c r="K110" s="56"/>
      <x:c r="L110" s="56"/>
      <x:c r="M110" s="56"/>
      <x:c r="N110" s="56"/>
      <x:c r="O110" s="56"/>
      <x:c r="P110" s="56"/>
      <x:c r="Q110" s="56"/>
    </x:row>
    <x:row r="111">
      <x:c r="A111" s="56"/>
      <x:c r="B111" s="56"/>
      <x:c r="C111" s="56"/>
      <x:c r="D111" s="56"/>
      <x:c r="E111" s="56"/>
      <x:c r="F111" s="56"/>
      <x:c r="G111" s="56"/>
      <x:c r="H111" s="56"/>
      <x:c r="I111" s="56"/>
      <x:c r="J111" s="56"/>
      <x:c r="K111" s="56"/>
      <x:c r="L111" s="56"/>
      <x:c r="M111" s="56"/>
      <x:c r="N111" s="56"/>
      <x:c r="O111" s="56"/>
      <x:c r="P111" s="56"/>
      <x:c r="Q111" s="56"/>
    </x:row>
    <x:row r="112">
      <x:c r="A112" s="56"/>
      <x:c r="B112" s="56"/>
      <x:c r="C112" s="56"/>
      <x:c r="D112" s="56"/>
      <x:c r="E112" s="56"/>
      <x:c r="F112" s="56"/>
      <x:c r="G112" s="56"/>
      <x:c r="H112" s="56"/>
      <x:c r="I112" s="56"/>
      <x:c r="J112" s="56"/>
      <x:c r="K112" s="56"/>
      <x:c r="L112" s="56"/>
      <x:c r="M112" s="56"/>
      <x:c r="N112" s="56"/>
      <x:c r="O112" s="56"/>
      <x:c r="P112" s="56"/>
      <x:c r="Q112" s="56"/>
    </x:row>
    <x:row r="113">
      <x:c r="A113" s="56"/>
      <x:c r="B113" s="56"/>
      <x:c r="C113" s="56"/>
      <x:c r="D113" s="56"/>
      <x:c r="E113" s="56"/>
      <x:c r="F113" s="56"/>
      <x:c r="G113" s="56"/>
      <x:c r="H113" s="56"/>
      <x:c r="I113" s="56"/>
      <x:c r="J113" s="56"/>
      <x:c r="K113" s="56"/>
      <x:c r="L113" s="56"/>
      <x:c r="M113" s="56"/>
      <x:c r="N113" s="56"/>
      <x:c r="O113" s="56"/>
      <x:c r="P113" s="56"/>
      <x:c r="Q113" s="56"/>
    </x:row>
    <x:row r="114">
      <x:c r="A114" s="56"/>
      <x:c r="B114" s="56"/>
      <x:c r="C114" s="56"/>
      <x:c r="D114" s="56"/>
      <x:c r="E114" s="56"/>
      <x:c r="F114" s="56"/>
      <x:c r="G114" s="56"/>
      <x:c r="H114" s="56"/>
      <x:c r="I114" s="56"/>
      <x:c r="J114" s="56"/>
      <x:c r="K114" s="56"/>
      <x:c r="L114" s="56"/>
      <x:c r="M114" s="56"/>
      <x:c r="N114" s="56"/>
      <x:c r="O114" s="56"/>
      <x:c r="P114" s="56"/>
      <x:c r="Q114" s="56"/>
    </x:row>
    <x:row r="115">
      <x:c r="A115" s="56"/>
      <x:c r="B115" s="56"/>
      <x:c r="C115" s="56"/>
      <x:c r="D115" s="56"/>
      <x:c r="E115" s="56"/>
      <x:c r="F115" s="56"/>
      <x:c r="G115" s="56"/>
      <x:c r="H115" s="56"/>
      <x:c r="I115" s="56"/>
      <x:c r="J115" s="56"/>
      <x:c r="K115" s="56"/>
      <x:c r="L115" s="56"/>
      <x:c r="M115" s="56"/>
      <x:c r="N115" s="56"/>
      <x:c r="O115" s="56"/>
      <x:c r="P115" s="56"/>
      <x:c r="Q115" s="56"/>
    </x:row>
    <x:row r="116">
      <x:c r="A116" s="56"/>
      <x:c r="B116" s="56"/>
      <x:c r="C116" s="56"/>
      <x:c r="D116" s="56"/>
      <x:c r="E116" s="56"/>
      <x:c r="F116" s="56"/>
      <x:c r="G116" s="56"/>
      <x:c r="H116" s="56"/>
      <x:c r="I116" s="56"/>
      <x:c r="J116" s="56"/>
      <x:c r="K116" s="56"/>
      <x:c r="L116" s="56"/>
      <x:c r="M116" s="56"/>
      <x:c r="N116" s="56"/>
      <x:c r="O116" s="56"/>
      <x:c r="P116" s="56"/>
      <x:c r="Q116" s="56"/>
    </x:row>
    <x:row r="117">
      <x:c r="A117" s="56"/>
      <x:c r="B117" s="56"/>
      <x:c r="C117" s="56"/>
      <x:c r="D117" s="56"/>
      <x:c r="E117" s="56"/>
      <x:c r="F117" s="56"/>
      <x:c r="G117" s="56"/>
      <x:c r="H117" s="56"/>
      <x:c r="I117" s="56"/>
      <x:c r="J117" s="56"/>
      <x:c r="K117" s="56"/>
      <x:c r="L117" s="56"/>
      <x:c r="M117" s="56"/>
      <x:c r="N117" s="56"/>
      <x:c r="O117" s="56"/>
      <x:c r="P117" s="56"/>
      <x:c r="Q117" s="56"/>
    </x:row>
    <x:row r="118">
      <x:c r="A118" s="56"/>
      <x:c r="B118" s="56"/>
      <x:c r="C118" s="56"/>
      <x:c r="D118" s="56"/>
      <x:c r="E118" s="56"/>
      <x:c r="F118" s="56"/>
      <x:c r="G118" s="56"/>
      <x:c r="H118" s="56"/>
      <x:c r="I118" s="56"/>
      <x:c r="J118" s="56"/>
      <x:c r="K118" s="56"/>
      <x:c r="L118" s="56"/>
      <x:c r="M118" s="56"/>
      <x:c r="N118" s="56"/>
      <x:c r="O118" s="56"/>
      <x:c r="P118" s="56"/>
      <x:c r="Q118" s="56"/>
    </x:row>
    <x:row r="119">
      <x:c r="A119" s="56"/>
      <x:c r="B119" s="56"/>
      <x:c r="C119" s="56"/>
      <x:c r="D119" s="56"/>
      <x:c r="E119" s="56"/>
      <x:c r="F119" s="56"/>
      <x:c r="G119" s="56"/>
      <x:c r="H119" s="56"/>
      <x:c r="I119" s="56"/>
      <x:c r="J119" s="56"/>
      <x:c r="K119" s="56"/>
      <x:c r="L119" s="56"/>
      <x:c r="M119" s="56"/>
      <x:c r="N119" s="56"/>
      <x:c r="O119" s="56"/>
      <x:c r="P119" s="56"/>
      <x:c r="Q119" s="56"/>
    </x:row>
    <x:row r="120">
      <x:c r="A120" s="56"/>
      <x:c r="B120" s="56"/>
      <x:c r="C120" s="56"/>
      <x:c r="D120" s="56"/>
      <x:c r="E120" s="56"/>
      <x:c r="F120" s="56"/>
      <x:c r="G120" s="56"/>
      <x:c r="H120" s="56"/>
      <x:c r="I120" s="56"/>
      <x:c r="J120" s="56"/>
      <x:c r="K120" s="56"/>
      <x:c r="L120" s="56"/>
      <x:c r="M120" s="56"/>
      <x:c r="N120" s="56"/>
      <x:c r="O120" s="56"/>
      <x:c r="P120" s="56"/>
      <x:c r="Q120" s="56"/>
    </x:row>
    <x:row r="121">
      <x:c r="A121" s="56"/>
      <x:c r="B121" s="56"/>
      <x:c r="C121" s="56"/>
      <x:c r="D121" s="56"/>
      <x:c r="E121" s="56"/>
      <x:c r="F121" s="56"/>
      <x:c r="G121" s="56"/>
      <x:c r="H121" s="56"/>
      <x:c r="I121" s="56"/>
      <x:c r="J121" s="56"/>
      <x:c r="K121" s="56"/>
      <x:c r="L121" s="56"/>
      <x:c r="M121" s="56"/>
      <x:c r="N121" s="56"/>
      <x:c r="O121" s="56"/>
      <x:c r="P121" s="56"/>
      <x:c r="Q121" s="56"/>
    </x:row>
    <x:row r="122">
      <x:c r="A122" s="56"/>
      <x:c r="B122" s="56"/>
      <x:c r="C122" s="56"/>
      <x:c r="D122" s="56"/>
      <x:c r="E122" s="56"/>
      <x:c r="F122" s="56"/>
      <x:c r="G122" s="56"/>
      <x:c r="H122" s="56"/>
      <x:c r="I122" s="56"/>
      <x:c r="J122" s="56"/>
      <x:c r="K122" s="56"/>
      <x:c r="L122" s="56"/>
      <x:c r="M122" s="56"/>
      <x:c r="N122" s="56"/>
      <x:c r="O122" s="56"/>
      <x:c r="P122" s="56"/>
      <x:c r="Q122" s="56"/>
    </x:row>
    <x:row r="123">
      <x:c r="A123" s="56"/>
      <x:c r="B123" s="56"/>
      <x:c r="C123" s="56"/>
      <x:c r="D123" s="56"/>
      <x:c r="E123" s="56"/>
      <x:c r="F123" s="56"/>
      <x:c r="G123" s="56"/>
      <x:c r="H123" s="56"/>
      <x:c r="I123" s="56"/>
      <x:c r="J123" s="56"/>
      <x:c r="K123" s="56"/>
      <x:c r="L123" s="56"/>
      <x:c r="M123" s="56"/>
      <x:c r="N123" s="56"/>
      <x:c r="O123" s="56"/>
      <x:c r="P123" s="56"/>
      <x:c r="Q123" s="56"/>
    </x:row>
    <x:row r="124">
      <x:c r="A124" s="56"/>
      <x:c r="B124" s="56"/>
      <x:c r="C124" s="56"/>
      <x:c r="D124" s="56"/>
      <x:c r="E124" s="56"/>
      <x:c r="F124" s="56"/>
      <x:c r="G124" s="56"/>
      <x:c r="H124" s="56"/>
      <x:c r="I124" s="56"/>
      <x:c r="J124" s="56"/>
      <x:c r="K124" s="56"/>
      <x:c r="L124" s="56"/>
      <x:c r="M124" s="56"/>
      <x:c r="N124" s="56"/>
      <x:c r="O124" s="56"/>
      <x:c r="P124" s="56"/>
      <x:c r="Q124" s="56"/>
    </x:row>
    <x:row r="125">
      <x:c r="A125" s="56"/>
      <x:c r="B125" s="56"/>
      <x:c r="C125" s="56"/>
      <x:c r="D125" s="56"/>
      <x:c r="E125" s="56"/>
      <x:c r="F125" s="56"/>
      <x:c r="G125" s="56"/>
      <x:c r="H125" s="56"/>
      <x:c r="I125" s="56"/>
      <x:c r="J125" s="56"/>
      <x:c r="K125" s="56"/>
      <x:c r="L125" s="56"/>
      <x:c r="M125" s="56"/>
      <x:c r="N125" s="56"/>
      <x:c r="O125" s="56"/>
      <x:c r="P125" s="56"/>
      <x:c r="Q125" s="56"/>
    </x:row>
    <x:row r="126">
      <x:c r="A126" s="56"/>
      <x:c r="B126" s="56"/>
      <x:c r="C126" s="56"/>
      <x:c r="D126" s="56"/>
      <x:c r="E126" s="56"/>
      <x:c r="F126" s="56"/>
      <x:c r="G126" s="56"/>
      <x:c r="H126" s="56"/>
      <x:c r="I126" s="56"/>
      <x:c r="J126" s="56"/>
      <x:c r="K126" s="56"/>
      <x:c r="L126" s="56"/>
      <x:c r="M126" s="56"/>
      <x:c r="N126" s="56"/>
      <x:c r="O126" s="56"/>
      <x:c r="P126" s="56"/>
      <x:c r="Q126" s="56"/>
    </x:row>
    <x:row r="127">
      <x:c r="A127" s="56"/>
      <x:c r="B127" s="56"/>
      <x:c r="C127" s="56"/>
      <x:c r="D127" s="56"/>
      <x:c r="E127" s="56"/>
      <x:c r="F127" s="56"/>
      <x:c r="G127" s="56"/>
      <x:c r="H127" s="56"/>
      <x:c r="I127" s="56"/>
      <x:c r="J127" s="56"/>
      <x:c r="K127" s="56"/>
      <x:c r="L127" s="56"/>
      <x:c r="M127" s="56"/>
      <x:c r="N127" s="56"/>
      <x:c r="O127" s="56"/>
      <x:c r="P127" s="56"/>
      <x:c r="Q127" s="56"/>
    </x:row>
    <x:row r="128">
      <x:c r="A128" s="56"/>
      <x:c r="B128" s="56"/>
      <x:c r="C128" s="56"/>
      <x:c r="D128" s="56"/>
      <x:c r="E128" s="56"/>
      <x:c r="F128" s="56"/>
      <x:c r="G128" s="56"/>
      <x:c r="H128" s="56"/>
      <x:c r="I128" s="56"/>
      <x:c r="J128" s="56"/>
      <x:c r="K128" s="56"/>
      <x:c r="L128" s="56"/>
      <x:c r="M128" s="56"/>
      <x:c r="N128" s="56"/>
      <x:c r="O128" s="56"/>
      <x:c r="P128" s="56"/>
      <x:c r="Q128" s="56"/>
    </x:row>
    <x:row r="129">
      <x:c r="A129" s="56"/>
      <x:c r="B129" s="56"/>
      <x:c r="C129" s="56"/>
      <x:c r="D129" s="56"/>
      <x:c r="E129" s="56"/>
      <x:c r="F129" s="56"/>
      <x:c r="G129" s="56"/>
      <x:c r="H129" s="56"/>
      <x:c r="I129" s="56"/>
      <x:c r="J129" s="56"/>
      <x:c r="K129" s="56"/>
      <x:c r="L129" s="56"/>
      <x:c r="M129" s="56"/>
      <x:c r="N129" s="56"/>
      <x:c r="O129" s="56"/>
      <x:c r="P129" s="56"/>
      <x:c r="Q129" s="56"/>
    </x:row>
    <x:row r="130">
      <x:c r="A130" s="56"/>
      <x:c r="B130" s="56"/>
      <x:c r="C130" s="56"/>
      <x:c r="D130" s="56"/>
      <x:c r="E130" s="56"/>
      <x:c r="F130" s="56"/>
      <x:c r="G130" s="56"/>
      <x:c r="H130" s="56"/>
      <x:c r="I130" s="56"/>
      <x:c r="J130" s="56"/>
      <x:c r="K130" s="56"/>
      <x:c r="L130" s="56"/>
      <x:c r="M130" s="56"/>
      <x:c r="N130" s="56"/>
      <x:c r="O130" s="56"/>
      <x:c r="P130" s="56"/>
      <x:c r="Q130" s="56"/>
    </x:row>
    <x:row r="131">
      <x:c r="A131" s="56"/>
      <x:c r="B131" s="56"/>
      <x:c r="C131" s="56"/>
      <x:c r="D131" s="56"/>
      <x:c r="E131" s="56"/>
      <x:c r="F131" s="56"/>
      <x:c r="G131" s="56"/>
      <x:c r="H131" s="56"/>
      <x:c r="I131" s="56"/>
      <x:c r="J131" s="56"/>
      <x:c r="K131" s="56"/>
      <x:c r="L131" s="56"/>
      <x:c r="M131" s="56"/>
      <x:c r="N131" s="56"/>
      <x:c r="O131" s="56"/>
      <x:c r="P131" s="56"/>
      <x:c r="Q131" s="56"/>
    </x:row>
    <x:row r="132">
      <x:c r="A132" s="56"/>
      <x:c r="B132" s="56"/>
      <x:c r="C132" s="56"/>
      <x:c r="D132" s="56"/>
      <x:c r="E132" s="56"/>
      <x:c r="F132" s="56"/>
      <x:c r="G132" s="56"/>
      <x:c r="H132" s="56"/>
      <x:c r="I132" s="56"/>
      <x:c r="J132" s="56"/>
      <x:c r="K132" s="56"/>
      <x:c r="L132" s="56"/>
      <x:c r="M132" s="56"/>
      <x:c r="N132" s="56"/>
      <x:c r="O132" s="56"/>
      <x:c r="P132" s="56"/>
      <x:c r="Q132" s="56"/>
    </x:row>
    <x:row r="133">
      <x:c r="A133" s="56"/>
      <x:c r="B133" s="56"/>
      <x:c r="C133" s="56"/>
      <x:c r="D133" s="56"/>
      <x:c r="E133" s="56"/>
      <x:c r="F133" s="56"/>
      <x:c r="G133" s="56"/>
      <x:c r="H133" s="56"/>
      <x:c r="I133" s="56"/>
      <x:c r="J133" s="56"/>
      <x:c r="K133" s="56"/>
      <x:c r="L133" s="56"/>
      <x:c r="M133" s="56"/>
      <x:c r="N133" s="56"/>
      <x:c r="O133" s="56"/>
      <x:c r="P133" s="56"/>
      <x:c r="Q133" s="56"/>
    </x:row>
    <x:row r="134">
      <x:c r="A134" s="56"/>
      <x:c r="B134" s="56"/>
      <x:c r="C134" s="56"/>
      <x:c r="D134" s="56"/>
      <x:c r="E134" s="56"/>
      <x:c r="F134" s="56"/>
      <x:c r="G134" s="56"/>
      <x:c r="H134" s="56"/>
      <x:c r="I134" s="56"/>
      <x:c r="J134" s="56"/>
      <x:c r="K134" s="56"/>
      <x:c r="L134" s="56"/>
      <x:c r="M134" s="56"/>
      <x:c r="N134" s="56"/>
      <x:c r="O134" s="56"/>
      <x:c r="P134" s="56"/>
      <x:c r="Q134" s="56"/>
    </x:row>
    <x:row r="135">
      <x:c r="A135" s="56"/>
      <x:c r="B135" s="56"/>
      <x:c r="C135" s="56"/>
      <x:c r="D135" s="56"/>
      <x:c r="E135" s="56"/>
      <x:c r="F135" s="56"/>
      <x:c r="G135" s="56"/>
      <x:c r="H135" s="56"/>
      <x:c r="I135" s="56"/>
      <x:c r="J135" s="56"/>
      <x:c r="K135" s="56"/>
      <x:c r="L135" s="56"/>
      <x:c r="M135" s="56"/>
      <x:c r="N135" s="56"/>
      <x:c r="O135" s="56"/>
      <x:c r="P135" s="56"/>
      <x:c r="Q135" s="56"/>
    </x:row>
    <x:row r="136">
      <x:c r="A136" s="56"/>
      <x:c r="B136" s="56"/>
      <x:c r="C136" s="56"/>
      <x:c r="D136" s="56"/>
      <x:c r="E136" s="56"/>
      <x:c r="F136" s="56"/>
      <x:c r="G136" s="56"/>
      <x:c r="H136" s="56"/>
      <x:c r="I136" s="56"/>
      <x:c r="J136" s="56"/>
      <x:c r="K136" s="56"/>
      <x:c r="L136" s="56"/>
      <x:c r="M136" s="56"/>
      <x:c r="N136" s="56"/>
      <x:c r="O136" s="56"/>
      <x:c r="P136" s="56"/>
      <x:c r="Q136" s="56"/>
    </x:row>
    <x:row r="137">
      <x:c r="A137" s="56"/>
      <x:c r="B137" s="56"/>
      <x:c r="C137" s="56"/>
      <x:c r="D137" s="56"/>
      <x:c r="E137" s="56"/>
      <x:c r="F137" s="56"/>
      <x:c r="G137" s="56"/>
      <x:c r="H137" s="56"/>
      <x:c r="I137" s="56"/>
      <x:c r="J137" s="56"/>
      <x:c r="K137" s="56"/>
      <x:c r="L137" s="56"/>
      <x:c r="M137" s="56"/>
      <x:c r="N137" s="56"/>
      <x:c r="O137" s="56"/>
      <x:c r="P137" s="56"/>
      <x:c r="Q137" s="56"/>
    </x:row>
    <x:row r="138">
      <x:c r="A138" s="56"/>
      <x:c r="B138" s="56"/>
      <x:c r="C138" s="56"/>
      <x:c r="D138" s="56"/>
      <x:c r="E138" s="56"/>
      <x:c r="F138" s="56"/>
      <x:c r="G138" s="56"/>
      <x:c r="H138" s="56"/>
      <x:c r="I138" s="56"/>
      <x:c r="J138" s="56"/>
      <x:c r="K138" s="56"/>
      <x:c r="L138" s="56"/>
      <x:c r="M138" s="56"/>
      <x:c r="N138" s="56"/>
      <x:c r="O138" s="56"/>
      <x:c r="P138" s="56"/>
      <x:c r="Q138" s="56"/>
    </x:row>
    <x:row r="139">
      <x:c r="A139" s="56"/>
      <x:c r="B139" s="56"/>
      <x:c r="C139" s="56"/>
      <x:c r="D139" s="56"/>
      <x:c r="E139" s="56"/>
      <x:c r="F139" s="56"/>
      <x:c r="G139" s="56"/>
      <x:c r="H139" s="56"/>
      <x:c r="I139" s="56"/>
      <x:c r="J139" s="56"/>
      <x:c r="K139" s="56"/>
      <x:c r="L139" s="56"/>
      <x:c r="M139" s="56"/>
      <x:c r="N139" s="56"/>
      <x:c r="O139" s="56"/>
      <x:c r="P139" s="56"/>
      <x:c r="Q139" s="56"/>
    </x:row>
    <x:row r="140">
      <x:c r="A140" s="56"/>
      <x:c r="B140" s="56"/>
      <x:c r="C140" s="56"/>
      <x:c r="D140" s="56"/>
      <x:c r="E140" s="56"/>
      <x:c r="F140" s="56"/>
      <x:c r="G140" s="56"/>
      <x:c r="H140" s="56"/>
      <x:c r="I140" s="56"/>
      <x:c r="J140" s="56"/>
      <x:c r="K140" s="56"/>
      <x:c r="L140" s="56"/>
      <x:c r="M140" s="56"/>
      <x:c r="N140" s="56"/>
      <x:c r="O140" s="56"/>
      <x:c r="P140" s="56"/>
      <x:c r="Q140" s="56"/>
    </x:row>
    <x:row r="141">
      <x:c r="A141" s="56"/>
      <x:c r="B141" s="56"/>
      <x:c r="C141" s="56"/>
      <x:c r="D141" s="56"/>
      <x:c r="E141" s="56"/>
      <x:c r="F141" s="56"/>
      <x:c r="G141" s="56"/>
      <x:c r="H141" s="56"/>
      <x:c r="I141" s="56"/>
      <x:c r="J141" s="56"/>
      <x:c r="K141" s="56"/>
      <x:c r="L141" s="56"/>
      <x:c r="M141" s="56"/>
      <x:c r="N141" s="56"/>
      <x:c r="O141" s="56"/>
      <x:c r="P141" s="56"/>
      <x:c r="Q141" s="56"/>
    </x:row>
    <x:row r="142">
      <x:c r="A142" s="56"/>
      <x:c r="B142" s="56"/>
      <x:c r="C142" s="56"/>
      <x:c r="D142" s="56"/>
      <x:c r="E142" s="56"/>
      <x:c r="F142" s="56"/>
      <x:c r="G142" s="56"/>
      <x:c r="H142" s="56"/>
      <x:c r="I142" s="56"/>
      <x:c r="J142" s="56"/>
      <x:c r="K142" s="56"/>
      <x:c r="L142" s="56"/>
      <x:c r="M142" s="56"/>
      <x:c r="N142" s="56"/>
      <x:c r="O142" s="56"/>
      <x:c r="P142" s="56"/>
      <x:c r="Q142" s="56"/>
    </x:row>
    <x:row r="143">
      <x:c r="A143" s="56"/>
      <x:c r="B143" s="56"/>
      <x:c r="C143" s="56"/>
      <x:c r="D143" s="56"/>
      <x:c r="E143" s="56"/>
      <x:c r="F143" s="56"/>
      <x:c r="G143" s="56"/>
      <x:c r="H143" s="56"/>
      <x:c r="I143" s="56"/>
      <x:c r="J143" s="56"/>
      <x:c r="K143" s="56"/>
      <x:c r="L143" s="56"/>
      <x:c r="M143" s="56"/>
      <x:c r="N143" s="56"/>
      <x:c r="O143" s="56"/>
      <x:c r="P143" s="56"/>
      <x:c r="Q143" s="56"/>
    </x:row>
    <x:row r="144">
      <x:c r="A144" s="56"/>
      <x:c r="B144" s="56"/>
      <x:c r="C144" s="56"/>
      <x:c r="D144" s="56"/>
      <x:c r="E144" s="56"/>
      <x:c r="F144" s="56"/>
      <x:c r="G144" s="56"/>
      <x:c r="H144" s="56"/>
      <x:c r="I144" s="56"/>
      <x:c r="J144" s="56"/>
      <x:c r="K144" s="56"/>
      <x:c r="L144" s="56"/>
      <x:c r="M144" s="56"/>
      <x:c r="N144" s="56"/>
      <x:c r="O144" s="56"/>
      <x:c r="P144" s="56"/>
      <x:c r="Q144" s="56"/>
    </x:row>
    <x:row r="145">
      <x:c r="A145" s="56"/>
      <x:c r="B145" s="56"/>
      <x:c r="C145" s="56"/>
      <x:c r="D145" s="56"/>
      <x:c r="E145" s="56"/>
      <x:c r="F145" s="56"/>
      <x:c r="G145" s="56"/>
      <x:c r="H145" s="56"/>
      <x:c r="I145" s="56"/>
      <x:c r="J145" s="56"/>
      <x:c r="K145" s="56"/>
      <x:c r="L145" s="56"/>
      <x:c r="M145" s="56"/>
      <x:c r="N145" s="56"/>
      <x:c r="O145" s="56"/>
      <x:c r="P145" s="56"/>
      <x:c r="Q145" s="56"/>
    </x:row>
    <x:row r="146">
      <x:c r="A146" s="56"/>
      <x:c r="B146" s="56"/>
      <x:c r="C146" s="56"/>
      <x:c r="D146" s="56"/>
      <x:c r="E146" s="56"/>
      <x:c r="F146" s="56"/>
      <x:c r="G146" s="56"/>
      <x:c r="H146" s="56"/>
      <x:c r="I146" s="56"/>
      <x:c r="J146" s="56"/>
      <x:c r="K146" s="56"/>
      <x:c r="L146" s="56"/>
      <x:c r="M146" s="56"/>
      <x:c r="N146" s="56"/>
      <x:c r="O146" s="56"/>
      <x:c r="P146" s="56"/>
      <x:c r="Q146" s="56"/>
    </x:row>
    <x:row r="147">
      <x:c r="A147" s="56"/>
      <x:c r="B147" s="56"/>
      <x:c r="C147" s="56"/>
      <x:c r="D147" s="56"/>
      <x:c r="E147" s="56"/>
      <x:c r="F147" s="56"/>
      <x:c r="G147" s="56"/>
      <x:c r="H147" s="56"/>
      <x:c r="I147" s="56"/>
      <x:c r="J147" s="56"/>
      <x:c r="K147" s="56"/>
      <x:c r="L147" s="56"/>
      <x:c r="M147" s="56"/>
      <x:c r="N147" s="56"/>
      <x:c r="O147" s="56"/>
      <x:c r="P147" s="56"/>
      <x:c r="Q147" s="56"/>
    </x:row>
    <x:row r="148">
      <x:c r="A148" s="56"/>
      <x:c r="B148" s="56"/>
      <x:c r="C148" s="56"/>
      <x:c r="D148" s="56"/>
      <x:c r="E148" s="56"/>
      <x:c r="F148" s="56"/>
      <x:c r="G148" s="56"/>
      <x:c r="H148" s="56"/>
      <x:c r="I148" s="56"/>
      <x:c r="J148" s="56"/>
      <x:c r="K148" s="56"/>
      <x:c r="L148" s="56"/>
      <x:c r="M148" s="56"/>
      <x:c r="N148" s="56"/>
      <x:c r="O148" s="56"/>
      <x:c r="P148" s="56"/>
      <x:c r="Q148" s="56"/>
    </x:row>
    <x:row r="149">
      <x:c r="A149" s="56"/>
      <x:c r="B149" s="56"/>
      <x:c r="C149" s="56"/>
      <x:c r="D149" s="56"/>
      <x:c r="E149" s="56"/>
      <x:c r="F149" s="56"/>
      <x:c r="G149" s="56"/>
      <x:c r="H149" s="56"/>
      <x:c r="I149" s="56"/>
      <x:c r="J149" s="56"/>
      <x:c r="K149" s="56"/>
      <x:c r="L149" s="56"/>
      <x:c r="M149" s="56"/>
      <x:c r="N149" s="56"/>
      <x:c r="O149" s="56"/>
      <x:c r="P149" s="56"/>
      <x:c r="Q149" s="56"/>
    </x:row>
    <x:row r="150">
      <x:c r="A150" s="56"/>
      <x:c r="B150" s="56"/>
      <x:c r="C150" s="56"/>
      <x:c r="D150" s="56"/>
      <x:c r="E150" s="56"/>
      <x:c r="F150" s="56"/>
      <x:c r="G150" s="56"/>
      <x:c r="H150" s="56"/>
      <x:c r="I150" s="56"/>
      <x:c r="J150" s="56"/>
      <x:c r="K150" s="56"/>
      <x:c r="L150" s="56"/>
      <x:c r="M150" s="56"/>
      <x:c r="N150" s="56"/>
      <x:c r="O150" s="56"/>
      <x:c r="P150" s="56"/>
      <x:c r="Q150" s="56"/>
    </x:row>
    <x:row r="151">
      <x:c r="A151" s="56"/>
      <x:c r="B151" s="56"/>
      <x:c r="C151" s="56"/>
      <x:c r="D151" s="56"/>
      <x:c r="E151" s="56"/>
      <x:c r="F151" s="56"/>
      <x:c r="G151" s="56"/>
      <x:c r="H151" s="56"/>
      <x:c r="I151" s="56"/>
      <x:c r="J151" s="56"/>
      <x:c r="K151" s="56"/>
      <x:c r="L151" s="56"/>
      <x:c r="M151" s="56"/>
      <x:c r="N151" s="56"/>
      <x:c r="O151" s="56"/>
      <x:c r="P151" s="56"/>
      <x:c r="Q151" s="56"/>
    </x:row>
    <x:row r="152">
      <x:c r="A152" s="56"/>
      <x:c r="B152" s="56"/>
      <x:c r="C152" s="56"/>
      <x:c r="D152" s="56"/>
      <x:c r="E152" s="56"/>
      <x:c r="F152" s="56"/>
      <x:c r="G152" s="56"/>
      <x:c r="H152" s="56"/>
      <x:c r="I152" s="56"/>
      <x:c r="J152" s="56"/>
      <x:c r="K152" s="56"/>
      <x:c r="L152" s="56"/>
      <x:c r="M152" s="56"/>
      <x:c r="N152" s="56"/>
      <x:c r="O152" s="56"/>
      <x:c r="P152" s="56"/>
      <x:c r="Q152" s="56"/>
    </x:row>
    <x:row r="153">
      <x:c r="A153" s="56"/>
      <x:c r="B153" s="56"/>
      <x:c r="C153" s="56"/>
      <x:c r="D153" s="56"/>
      <x:c r="E153" s="56"/>
      <x:c r="F153" s="56"/>
      <x:c r="G153" s="56"/>
      <x:c r="H153" s="56"/>
      <x:c r="I153" s="56"/>
      <x:c r="J153" s="56"/>
      <x:c r="K153" s="56"/>
      <x:c r="L153" s="56"/>
      <x:c r="M153" s="56"/>
      <x:c r="N153" s="56"/>
      <x:c r="O153" s="56"/>
      <x:c r="P153" s="56"/>
      <x:c r="Q153" s="56"/>
    </x:row>
    <x:row r="154">
      <x:c r="A154" s="56"/>
      <x:c r="B154" s="56"/>
      <x:c r="C154" s="56"/>
      <x:c r="D154" s="56"/>
      <x:c r="E154" s="56"/>
      <x:c r="F154" s="56"/>
      <x:c r="G154" s="56"/>
      <x:c r="H154" s="56"/>
      <x:c r="I154" s="56"/>
      <x:c r="J154" s="56"/>
      <x:c r="K154" s="56"/>
      <x:c r="L154" s="56"/>
      <x:c r="M154" s="56"/>
      <x:c r="N154" s="56"/>
      <x:c r="O154" s="56"/>
      <x:c r="P154" s="56"/>
      <x:c r="Q154" s="56"/>
    </x:row>
    <x:row r="155">
      <x:c r="A155" s="56"/>
      <x:c r="B155" s="56"/>
      <x:c r="C155" s="56"/>
      <x:c r="D155" s="56"/>
      <x:c r="E155" s="56"/>
      <x:c r="F155" s="56"/>
      <x:c r="G155" s="56"/>
      <x:c r="H155" s="56"/>
      <x:c r="I155" s="56"/>
      <x:c r="J155" s="56"/>
      <x:c r="K155" s="56"/>
      <x:c r="L155" s="56"/>
      <x:c r="M155" s="56"/>
      <x:c r="N155" s="56"/>
      <x:c r="O155" s="56"/>
      <x:c r="P155" s="56"/>
      <x:c r="Q155" s="56"/>
    </x:row>
    <x:row r="156">
      <x:c r="A156" s="56"/>
      <x:c r="B156" s="56"/>
      <x:c r="C156" s="56"/>
      <x:c r="D156" s="56"/>
      <x:c r="E156" s="56"/>
      <x:c r="F156" s="56"/>
      <x:c r="G156" s="56"/>
      <x:c r="H156" s="56"/>
      <x:c r="I156" s="56"/>
      <x:c r="J156" s="56"/>
      <x:c r="K156" s="56"/>
      <x:c r="L156" s="56"/>
      <x:c r="M156" s="56"/>
      <x:c r="N156" s="56"/>
      <x:c r="O156" s="56"/>
      <x:c r="P156" s="56"/>
      <x:c r="Q156" s="56"/>
    </x:row>
    <x:row r="157">
      <x:c r="A157" s="56"/>
      <x:c r="B157" s="56"/>
      <x:c r="C157" s="56"/>
      <x:c r="D157" s="56"/>
      <x:c r="E157" s="56"/>
      <x:c r="F157" s="56"/>
      <x:c r="G157" s="56"/>
      <x:c r="H157" s="56"/>
      <x:c r="I157" s="56"/>
      <x:c r="J157" s="56"/>
      <x:c r="K157" s="56"/>
      <x:c r="L157" s="56"/>
      <x:c r="M157" s="56"/>
      <x:c r="N157" s="56"/>
      <x:c r="O157" s="56"/>
      <x:c r="P157" s="56"/>
      <x:c r="Q157" s="56"/>
    </x:row>
    <x:row r="158">
      <x:c r="A158" s="56"/>
      <x:c r="B158" s="56"/>
      <x:c r="C158" s="56"/>
      <x:c r="D158" s="56"/>
      <x:c r="E158" s="56"/>
      <x:c r="F158" s="56"/>
      <x:c r="G158" s="56"/>
      <x:c r="H158" s="56"/>
      <x:c r="I158" s="56"/>
      <x:c r="J158" s="56"/>
      <x:c r="K158" s="56"/>
      <x:c r="L158" s="56"/>
      <x:c r="M158" s="56"/>
      <x:c r="N158" s="56"/>
      <x:c r="O158" s="56"/>
      <x:c r="P158" s="56"/>
      <x:c r="Q158" s="56"/>
    </x:row>
    <x:row r="159">
      <x:c r="A159" s="56"/>
      <x:c r="B159" s="56"/>
      <x:c r="C159" s="56"/>
      <x:c r="D159" s="56"/>
      <x:c r="E159" s="56"/>
      <x:c r="F159" s="56"/>
      <x:c r="G159" s="56"/>
      <x:c r="H159" s="56"/>
      <x:c r="I159" s="56"/>
      <x:c r="J159" s="56"/>
      <x:c r="K159" s="56"/>
      <x:c r="L159" s="56"/>
      <x:c r="M159" s="56"/>
      <x:c r="N159" s="56"/>
      <x:c r="O159" s="56"/>
      <x:c r="P159" s="56"/>
      <x:c r="Q159" s="56"/>
    </x:row>
    <x:row r="160">
      <x:c r="A160" s="56"/>
      <x:c r="B160" s="56"/>
      <x:c r="C160" s="56"/>
      <x:c r="D160" s="56"/>
      <x:c r="E160" s="56"/>
      <x:c r="F160" s="56"/>
      <x:c r="G160" s="56"/>
      <x:c r="H160" s="56"/>
      <x:c r="I160" s="56"/>
      <x:c r="J160" s="56"/>
      <x:c r="K160" s="56"/>
      <x:c r="L160" s="56"/>
      <x:c r="M160" s="56"/>
      <x:c r="N160" s="56"/>
      <x:c r="O160" s="56"/>
      <x:c r="P160" s="56"/>
      <x:c r="Q160" s="56"/>
    </x:row>
    <x:row r="161">
      <x:c r="A161" s="56"/>
      <x:c r="B161" s="56"/>
      <x:c r="C161" s="56"/>
      <x:c r="D161" s="56"/>
      <x:c r="E161" s="56"/>
      <x:c r="F161" s="56"/>
      <x:c r="G161" s="56"/>
      <x:c r="H161" s="56"/>
      <x:c r="I161" s="56"/>
      <x:c r="J161" s="56"/>
      <x:c r="K161" s="56"/>
      <x:c r="L161" s="56"/>
      <x:c r="M161" s="56"/>
      <x:c r="N161" s="56"/>
      <x:c r="O161" s="56"/>
      <x:c r="P161" s="56"/>
      <x:c r="Q161" s="56"/>
    </x:row>
    <x:row r="162">
      <x:c r="A162" s="56"/>
      <x:c r="B162" s="56"/>
      <x:c r="C162" s="56"/>
      <x:c r="D162" s="56"/>
      <x:c r="E162" s="56"/>
      <x:c r="F162" s="56"/>
      <x:c r="G162" s="56"/>
      <x:c r="H162" s="56"/>
      <x:c r="I162" s="56"/>
      <x:c r="J162" s="56"/>
      <x:c r="K162" s="56"/>
      <x:c r="L162" s="56"/>
      <x:c r="M162" s="56"/>
      <x:c r="N162" s="56"/>
      <x:c r="O162" s="56"/>
      <x:c r="P162" s="56"/>
      <x:c r="Q162" s="56"/>
    </x:row>
    <x:row r="163">
      <x:c r="A163" s="56"/>
      <x:c r="B163" s="56"/>
      <x:c r="C163" s="56"/>
      <x:c r="D163" s="56"/>
      <x:c r="E163" s="56"/>
      <x:c r="F163" s="56"/>
      <x:c r="G163" s="56"/>
      <x:c r="H163" s="56"/>
      <x:c r="I163" s="56"/>
      <x:c r="J163" s="56"/>
      <x:c r="K163" s="56"/>
      <x:c r="L163" s="56"/>
      <x:c r="M163" s="56"/>
      <x:c r="N163" s="56"/>
      <x:c r="O163" s="56"/>
      <x:c r="P163" s="56"/>
      <x:c r="Q163" s="56"/>
    </x:row>
    <x:row r="164">
      <x:c r="A164" s="56"/>
      <x:c r="B164" s="56"/>
      <x:c r="C164" s="56"/>
      <x:c r="D164" s="56"/>
      <x:c r="E164" s="56"/>
      <x:c r="F164" s="56"/>
      <x:c r="G164" s="56"/>
      <x:c r="H164" s="56"/>
      <x:c r="I164" s="56"/>
      <x:c r="J164" s="56"/>
      <x:c r="K164" s="56"/>
      <x:c r="L164" s="56"/>
      <x:c r="M164" s="56"/>
      <x:c r="N164" s="56"/>
      <x:c r="O164" s="56"/>
      <x:c r="P164" s="56"/>
      <x:c r="Q164" s="56"/>
    </x:row>
    <x:row r="165">
      <x:c r="A165" s="56"/>
      <x:c r="B165" s="56"/>
      <x:c r="C165" s="56"/>
      <x:c r="D165" s="56"/>
      <x:c r="E165" s="56"/>
      <x:c r="F165" s="56"/>
      <x:c r="G165" s="56"/>
      <x:c r="H165" s="56"/>
      <x:c r="I165" s="56"/>
      <x:c r="J165" s="56"/>
      <x:c r="K165" s="56"/>
      <x:c r="L165" s="56"/>
      <x:c r="M165" s="56"/>
      <x:c r="N165" s="56"/>
      <x:c r="O165" s="56"/>
      <x:c r="P165" s="56"/>
      <x:c r="Q165" s="56"/>
    </x:row>
    <x:row r="166">
      <x:c r="A166" s="56"/>
      <x:c r="B166" s="56"/>
      <x:c r="C166" s="56"/>
      <x:c r="D166" s="56"/>
      <x:c r="E166" s="56"/>
      <x:c r="F166" s="56"/>
      <x:c r="G166" s="56"/>
      <x:c r="H166" s="56"/>
      <x:c r="I166" s="56"/>
      <x:c r="J166" s="56"/>
      <x:c r="K166" s="56"/>
      <x:c r="L166" s="56"/>
      <x:c r="M166" s="56"/>
      <x:c r="N166" s="56"/>
      <x:c r="O166" s="56"/>
      <x:c r="P166" s="56"/>
      <x:c r="Q166" s="56"/>
    </x:row>
    <x:row r="167">
      <x:c r="A167" s="56"/>
      <x:c r="B167" s="56"/>
      <x:c r="C167" s="56"/>
      <x:c r="D167" s="56"/>
      <x:c r="E167" s="56"/>
      <x:c r="F167" s="56"/>
      <x:c r="G167" s="56"/>
      <x:c r="H167" s="56"/>
      <x:c r="I167" s="56"/>
      <x:c r="J167" s="56"/>
      <x:c r="K167" s="56"/>
      <x:c r="L167" s="56"/>
      <x:c r="M167" s="56"/>
      <x:c r="N167" s="56"/>
      <x:c r="O167" s="56"/>
      <x:c r="P167" s="56"/>
      <x:c r="Q167" s="56"/>
    </x:row>
    <x:row r="168">
      <x:c r="A168" s="56"/>
      <x:c r="B168" s="56"/>
      <x:c r="C168" s="56"/>
      <x:c r="D168" s="56"/>
      <x:c r="E168" s="56"/>
      <x:c r="F168" s="56"/>
      <x:c r="G168" s="56"/>
      <x:c r="H168" s="56"/>
      <x:c r="I168" s="56"/>
      <x:c r="J168" s="56"/>
      <x:c r="K168" s="56"/>
      <x:c r="L168" s="56"/>
      <x:c r="M168" s="56"/>
      <x:c r="N168" s="56"/>
      <x:c r="O168" s="56"/>
      <x:c r="P168" s="56"/>
      <x:c r="Q168" s="56"/>
    </x:row>
    <x:row r="169">
      <x:c r="A169" s="56"/>
      <x:c r="B169" s="56"/>
      <x:c r="C169" s="56"/>
      <x:c r="D169" s="56"/>
      <x:c r="E169" s="56"/>
      <x:c r="F169" s="56"/>
      <x:c r="G169" s="56"/>
      <x:c r="H169" s="56"/>
      <x:c r="I169" s="56"/>
      <x:c r="J169" s="56"/>
      <x:c r="K169" s="56"/>
      <x:c r="L169" s="56"/>
      <x:c r="M169" s="56"/>
      <x:c r="N169" s="56"/>
      <x:c r="O169" s="56"/>
      <x:c r="P169" s="56"/>
      <x:c r="Q169" s="56"/>
    </x:row>
    <x:row r="170">
      <x:c r="A170" s="56"/>
      <x:c r="B170" s="56"/>
      <x:c r="C170" s="56"/>
      <x:c r="D170" s="56"/>
      <x:c r="E170" s="56"/>
      <x:c r="F170" s="56"/>
      <x:c r="G170" s="56"/>
      <x:c r="H170" s="56"/>
      <x:c r="I170" s="56"/>
      <x:c r="J170" s="56"/>
      <x:c r="K170" s="56"/>
      <x:c r="L170" s="56"/>
      <x:c r="M170" s="56"/>
      <x:c r="N170" s="56"/>
      <x:c r="O170" s="56"/>
      <x:c r="P170" s="56"/>
      <x:c r="Q170" s="56"/>
    </x:row>
    <x:row r="171">
      <x:c r="A171" s="56"/>
      <x:c r="B171" s="56"/>
      <x:c r="C171" s="56"/>
      <x:c r="D171" s="56"/>
      <x:c r="E171" s="56"/>
      <x:c r="F171" s="56"/>
      <x:c r="G171" s="56"/>
      <x:c r="H171" s="56"/>
      <x:c r="I171" s="56"/>
      <x:c r="J171" s="56"/>
      <x:c r="K171" s="56"/>
      <x:c r="L171" s="56"/>
      <x:c r="M171" s="56"/>
      <x:c r="N171" s="56"/>
      <x:c r="O171" s="56"/>
      <x:c r="P171" s="56"/>
      <x:c r="Q171" s="56"/>
    </x:row>
    <x:row r="172">
      <x:c r="A172" s="56"/>
      <x:c r="B172" s="56"/>
      <x:c r="C172" s="56"/>
      <x:c r="D172" s="56"/>
      <x:c r="E172" s="56"/>
      <x:c r="F172" s="56"/>
      <x:c r="G172" s="56"/>
      <x:c r="H172" s="56"/>
      <x:c r="I172" s="56"/>
      <x:c r="J172" s="56"/>
      <x:c r="K172" s="56"/>
      <x:c r="L172" s="56"/>
      <x:c r="M172" s="56"/>
      <x:c r="N172" s="56"/>
      <x:c r="O172" s="56"/>
      <x:c r="P172" s="56"/>
      <x:c r="Q172" s="56"/>
    </x:row>
    <x:row r="173">
      <x:c r="A173" s="56"/>
      <x:c r="B173" s="56"/>
      <x:c r="C173" s="56"/>
      <x:c r="D173" s="56"/>
      <x:c r="E173" s="56"/>
      <x:c r="F173" s="56"/>
      <x:c r="G173" s="56"/>
      <x:c r="H173" s="56"/>
      <x:c r="I173" s="56"/>
      <x:c r="J173" s="56"/>
      <x:c r="K173" s="56"/>
      <x:c r="L173" s="56"/>
      <x:c r="M173" s="56"/>
      <x:c r="N173" s="56"/>
      <x:c r="O173" s="56"/>
      <x:c r="P173" s="56"/>
      <x:c r="Q173" s="56"/>
    </x:row>
    <x:row r="174">
      <x:c r="A174" s="56"/>
      <x:c r="B174" s="56"/>
      <x:c r="C174" s="56"/>
      <x:c r="D174" s="56"/>
      <x:c r="E174" s="56"/>
      <x:c r="F174" s="56"/>
      <x:c r="G174" s="56"/>
      <x:c r="H174" s="56"/>
      <x:c r="I174" s="56"/>
      <x:c r="J174" s="56"/>
      <x:c r="K174" s="56"/>
      <x:c r="L174" s="56"/>
      <x:c r="M174" s="56"/>
      <x:c r="N174" s="56"/>
      <x:c r="O174" s="56"/>
      <x:c r="P174" s="56"/>
      <x:c r="Q174" s="56"/>
    </x:row>
    <x:row r="175">
      <x:c r="A175" s="56"/>
      <x:c r="B175" s="56"/>
      <x:c r="C175" s="56"/>
      <x:c r="D175" s="56"/>
      <x:c r="E175" s="56"/>
      <x:c r="F175" s="56"/>
      <x:c r="G175" s="56"/>
      <x:c r="H175" s="56"/>
      <x:c r="I175" s="56"/>
      <x:c r="J175" s="56"/>
      <x:c r="K175" s="56"/>
      <x:c r="L175" s="56"/>
      <x:c r="M175" s="56"/>
      <x:c r="N175" s="56"/>
      <x:c r="O175" s="56"/>
      <x:c r="P175" s="56"/>
      <x:c r="Q175" s="56"/>
    </x:row>
    <x:row r="176">
      <x:c r="A176" s="56"/>
      <x:c r="B176" s="56"/>
      <x:c r="C176" s="56"/>
      <x:c r="D176" s="56"/>
      <x:c r="E176" s="56"/>
      <x:c r="F176" s="56"/>
      <x:c r="G176" s="56"/>
      <x:c r="H176" s="56"/>
      <x:c r="I176" s="56"/>
      <x:c r="J176" s="56"/>
      <x:c r="K176" s="56"/>
      <x:c r="L176" s="56"/>
      <x:c r="M176" s="56"/>
      <x:c r="N176" s="56"/>
      <x:c r="O176" s="56"/>
      <x:c r="P176" s="56"/>
      <x:c r="Q176" s="56"/>
    </x:row>
    <x:row r="177">
      <x:c r="A177" s="56"/>
      <x:c r="B177" s="56"/>
      <x:c r="C177" s="56"/>
      <x:c r="D177" s="56"/>
      <x:c r="E177" s="56"/>
      <x:c r="F177" s="56"/>
      <x:c r="G177" s="56"/>
      <x:c r="H177" s="56"/>
      <x:c r="I177" s="56"/>
      <x:c r="J177" s="56"/>
      <x:c r="K177" s="56"/>
      <x:c r="L177" s="56"/>
      <x:c r="M177" s="56"/>
      <x:c r="N177" s="56"/>
      <x:c r="O177" s="56"/>
      <x:c r="P177" s="56"/>
      <x:c r="Q177" s="56"/>
    </x:row>
    <x:row r="178">
      <x:c r="A178" s="56"/>
      <x:c r="B178" s="56"/>
      <x:c r="C178" s="56"/>
      <x:c r="D178" s="56"/>
      <x:c r="E178" s="56"/>
      <x:c r="F178" s="56"/>
      <x:c r="G178" s="56"/>
      <x:c r="H178" s="56"/>
      <x:c r="I178" s="56"/>
      <x:c r="J178" s="56"/>
      <x:c r="K178" s="56"/>
      <x:c r="L178" s="56"/>
      <x:c r="M178" s="56"/>
      <x:c r="N178" s="56"/>
      <x:c r="O178" s="56"/>
      <x:c r="P178" s="56"/>
      <x:c r="Q178" s="56"/>
    </x:row>
    <x:row r="179">
      <x:c r="A179" s="56"/>
      <x:c r="B179" s="56"/>
      <x:c r="C179" s="56"/>
      <x:c r="D179" s="56"/>
      <x:c r="E179" s="56"/>
      <x:c r="F179" s="56"/>
      <x:c r="G179" s="56"/>
      <x:c r="H179" s="56"/>
      <x:c r="I179" s="56"/>
      <x:c r="J179" s="56"/>
      <x:c r="K179" s="56"/>
      <x:c r="L179" s="56"/>
      <x:c r="M179" s="56"/>
      <x:c r="N179" s="56"/>
      <x:c r="O179" s="56"/>
      <x:c r="P179" s="56"/>
      <x:c r="Q179" s="56"/>
    </x:row>
    <x:row r="180">
      <x:c r="A180" s="56"/>
      <x:c r="B180" s="56"/>
      <x:c r="C180" s="56"/>
      <x:c r="D180" s="56"/>
      <x:c r="E180" s="56"/>
      <x:c r="F180" s="56"/>
      <x:c r="G180" s="56"/>
      <x:c r="H180" s="56"/>
      <x:c r="I180" s="56"/>
      <x:c r="J180" s="56"/>
      <x:c r="K180" s="56"/>
      <x:c r="L180" s="56"/>
      <x:c r="M180" s="56"/>
      <x:c r="N180" s="56"/>
      <x:c r="O180" s="56"/>
      <x:c r="P180" s="56"/>
      <x:c r="Q180" s="56"/>
    </x:row>
    <x:row r="181">
      <x:c r="A181" s="56"/>
      <x:c r="B181" s="56"/>
      <x:c r="C181" s="56"/>
      <x:c r="D181" s="56"/>
      <x:c r="E181" s="56"/>
      <x:c r="F181" s="56"/>
      <x:c r="G181" s="56"/>
      <x:c r="H181" s="56"/>
      <x:c r="I181" s="56"/>
      <x:c r="J181" s="56"/>
      <x:c r="K181" s="56"/>
      <x:c r="L181" s="56"/>
      <x:c r="M181" s="56"/>
      <x:c r="N181" s="56"/>
      <x:c r="O181" s="56"/>
      <x:c r="P181" s="56"/>
      <x:c r="Q181" s="56"/>
    </x:row>
    <x:row r="182">
      <x:c r="A182" s="56"/>
      <x:c r="B182" s="56"/>
      <x:c r="C182" s="56"/>
      <x:c r="D182" s="56"/>
      <x:c r="E182" s="56"/>
      <x:c r="F182" s="56"/>
      <x:c r="G182" s="56"/>
      <x:c r="H182" s="56"/>
      <x:c r="I182" s="56"/>
      <x:c r="J182" s="56"/>
      <x:c r="K182" s="56"/>
      <x:c r="L182" s="56"/>
      <x:c r="M182" s="56"/>
      <x:c r="N182" s="56"/>
      <x:c r="O182" s="56"/>
      <x:c r="P182" s="56"/>
      <x:c r="Q182" s="56"/>
    </x:row>
    <x:row r="183">
      <x:c r="A183" s="56"/>
      <x:c r="B183" s="56"/>
      <x:c r="C183" s="56"/>
      <x:c r="D183" s="56"/>
      <x:c r="E183" s="56"/>
      <x:c r="F183" s="56"/>
      <x:c r="G183" s="56"/>
      <x:c r="H183" s="56"/>
      <x:c r="I183" s="56"/>
      <x:c r="J183" s="56"/>
      <x:c r="K183" s="56"/>
      <x:c r="L183" s="56"/>
      <x:c r="M183" s="56"/>
      <x:c r="N183" s="56"/>
      <x:c r="O183" s="56"/>
      <x:c r="P183" s="56"/>
      <x:c r="Q183" s="56"/>
    </x:row>
    <x:row r="184">
      <x:c r="A184" s="56"/>
      <x:c r="B184" s="56"/>
      <x:c r="C184" s="56"/>
      <x:c r="D184" s="56"/>
      <x:c r="E184" s="56"/>
      <x:c r="F184" s="56"/>
      <x:c r="G184" s="56"/>
      <x:c r="H184" s="56"/>
      <x:c r="I184" s="56"/>
      <x:c r="J184" s="56"/>
      <x:c r="K184" s="56"/>
      <x:c r="L184" s="56"/>
      <x:c r="M184" s="56"/>
      <x:c r="N184" s="56"/>
      <x:c r="O184" s="56"/>
      <x:c r="P184" s="56"/>
      <x:c r="Q184" s="56"/>
    </x:row>
    <x:row r="185">
      <x:c r="A185" s="56"/>
      <x:c r="B185" s="56"/>
      <x:c r="C185" s="56"/>
      <x:c r="D185" s="56"/>
      <x:c r="E185" s="56"/>
      <x:c r="F185" s="56"/>
      <x:c r="G185" s="56"/>
      <x:c r="H185" s="56"/>
      <x:c r="I185" s="56"/>
      <x:c r="J185" s="56"/>
      <x:c r="K185" s="56"/>
      <x:c r="L185" s="56"/>
      <x:c r="M185" s="56"/>
      <x:c r="N185" s="56"/>
      <x:c r="O185" s="56"/>
      <x:c r="P185" s="56"/>
      <x:c r="Q185" s="56"/>
    </x:row>
    <x:row r="186">
      <x:c r="A186" s="56"/>
      <x:c r="B186" s="56"/>
      <x:c r="C186" s="56"/>
      <x:c r="D186" s="56"/>
      <x:c r="E186" s="56"/>
      <x:c r="F186" s="56"/>
      <x:c r="G186" s="56"/>
      <x:c r="H186" s="56"/>
      <x:c r="I186" s="56"/>
      <x:c r="J186" s="56"/>
      <x:c r="K186" s="56"/>
      <x:c r="L186" s="56"/>
      <x:c r="M186" s="56"/>
      <x:c r="N186" s="56"/>
      <x:c r="O186" s="56"/>
      <x:c r="P186" s="56"/>
      <x:c r="Q186" s="56"/>
    </x:row>
    <x:row r="187">
      <x:c r="A187" s="56"/>
      <x:c r="B187" s="56"/>
      <x:c r="C187" s="56"/>
      <x:c r="D187" s="56"/>
      <x:c r="E187" s="56"/>
      <x:c r="F187" s="56"/>
      <x:c r="G187" s="56"/>
      <x:c r="H187" s="56"/>
      <x:c r="I187" s="56"/>
      <x:c r="J187" s="56"/>
      <x:c r="K187" s="56"/>
      <x:c r="L187" s="56"/>
      <x:c r="M187" s="56"/>
      <x:c r="N187" s="56"/>
      <x:c r="O187" s="56"/>
      <x:c r="P187" s="56"/>
      <x:c r="Q187" s="56"/>
    </x:row>
    <x:row r="188">
      <x:c r="A188" s="56"/>
      <x:c r="B188" s="56"/>
      <x:c r="C188" s="56"/>
      <x:c r="D188" s="56"/>
      <x:c r="E188" s="56"/>
      <x:c r="F188" s="56"/>
      <x:c r="G188" s="56"/>
      <x:c r="H188" s="56"/>
      <x:c r="I188" s="56"/>
      <x:c r="J188" s="56"/>
      <x:c r="K188" s="56"/>
      <x:c r="L188" s="56"/>
      <x:c r="M188" s="56"/>
      <x:c r="N188" s="56"/>
      <x:c r="O188" s="56"/>
      <x:c r="P188" s="56"/>
      <x:c r="Q188" s="56"/>
    </x:row>
    <x:row r="189">
      <x:c r="A189" s="56"/>
      <x:c r="B189" s="56"/>
      <x:c r="C189" s="56"/>
      <x:c r="D189" s="56"/>
      <x:c r="E189" s="56"/>
      <x:c r="F189" s="56"/>
      <x:c r="G189" s="56"/>
      <x:c r="H189" s="56"/>
      <x:c r="I189" s="56"/>
      <x:c r="J189" s="56"/>
      <x:c r="K189" s="56"/>
      <x:c r="L189" s="56"/>
      <x:c r="M189" s="56"/>
      <x:c r="N189" s="56"/>
      <x:c r="O189" s="56"/>
      <x:c r="P189" s="56"/>
      <x:c r="Q189" s="56"/>
    </x:row>
    <x:row r="190">
      <x:c r="A190" s="56"/>
      <x:c r="B190" s="56"/>
      <x:c r="C190" s="56"/>
      <x:c r="D190" s="56"/>
      <x:c r="E190" s="56"/>
      <x:c r="F190" s="56"/>
      <x:c r="G190" s="56"/>
      <x:c r="H190" s="56"/>
      <x:c r="I190" s="56"/>
      <x:c r="J190" s="56"/>
      <x:c r="K190" s="56"/>
      <x:c r="L190" s="56"/>
      <x:c r="M190" s="56"/>
      <x:c r="N190" s="56"/>
      <x:c r="O190" s="56"/>
      <x:c r="P190" s="56"/>
      <x:c r="Q190" s="56"/>
    </x:row>
    <x:row r="191">
      <x:c r="A191" s="56"/>
      <x:c r="B191" s="56"/>
      <x:c r="C191" s="56"/>
      <x:c r="D191" s="56"/>
      <x:c r="E191" s="56"/>
      <x:c r="F191" s="56"/>
      <x:c r="G191" s="56"/>
      <x:c r="H191" s="56"/>
      <x:c r="I191" s="56"/>
      <x:c r="J191" s="56"/>
      <x:c r="K191" s="56"/>
      <x:c r="L191" s="56"/>
      <x:c r="M191" s="56"/>
      <x:c r="N191" s="56"/>
      <x:c r="O191" s="56"/>
      <x:c r="P191" s="56"/>
      <x:c r="Q191" s="56"/>
    </x:row>
    <x:row r="192">
      <x:c r="A192" s="56"/>
      <x:c r="B192" s="56"/>
      <x:c r="C192" s="56"/>
      <x:c r="D192" s="56"/>
      <x:c r="E192" s="56"/>
      <x:c r="F192" s="56"/>
      <x:c r="G192" s="56"/>
      <x:c r="H192" s="56"/>
      <x:c r="I192" s="56"/>
      <x:c r="J192" s="56"/>
      <x:c r="K192" s="56"/>
      <x:c r="L192" s="56"/>
      <x:c r="M192" s="56"/>
      <x:c r="N192" s="56"/>
      <x:c r="O192" s="56"/>
      <x:c r="P192" s="56"/>
      <x:c r="Q192" s="56"/>
    </x:row>
    <x:row r="193">
      <x:c r="A193" s="56"/>
      <x:c r="B193" s="56"/>
      <x:c r="C193" s="56"/>
      <x:c r="D193" s="56"/>
      <x:c r="E193" s="56"/>
      <x:c r="F193" s="56"/>
      <x:c r="G193" s="56"/>
      <x:c r="H193" s="56"/>
      <x:c r="I193" s="56"/>
      <x:c r="J193" s="56"/>
      <x:c r="K193" s="56"/>
      <x:c r="L193" s="56"/>
      <x:c r="M193" s="56"/>
      <x:c r="N193" s="56"/>
      <x:c r="O193" s="56"/>
      <x:c r="P193" s="56"/>
      <x:c r="Q193" s="56"/>
    </x:row>
    <x:row r="194">
      <x:c r="A194" s="56"/>
      <x:c r="B194" s="56"/>
      <x:c r="C194" s="56"/>
      <x:c r="D194" s="56"/>
      <x:c r="E194" s="56"/>
      <x:c r="F194" s="56"/>
      <x:c r="G194" s="56"/>
      <x:c r="H194" s="56"/>
      <x:c r="I194" s="56"/>
      <x:c r="J194" s="56"/>
      <x:c r="K194" s="56"/>
      <x:c r="L194" s="56"/>
      <x:c r="M194" s="56"/>
      <x:c r="N194" s="56"/>
      <x:c r="O194" s="56"/>
      <x:c r="P194" s="56"/>
      <x:c r="Q194" s="56"/>
    </x:row>
    <x:row r="195">
      <x:c r="A195" s="56"/>
      <x:c r="B195" s="56"/>
      <x:c r="C195" s="56"/>
      <x:c r="D195" s="56"/>
      <x:c r="E195" s="56"/>
      <x:c r="F195" s="56"/>
      <x:c r="G195" s="56"/>
      <x:c r="H195" s="56"/>
      <x:c r="I195" s="56"/>
      <x:c r="J195" s="56"/>
      <x:c r="K195" s="56"/>
      <x:c r="L195" s="56"/>
      <x:c r="M195" s="56"/>
      <x:c r="N195" s="56"/>
      <x:c r="O195" s="56"/>
      <x:c r="P195" s="56"/>
      <x:c r="Q195" s="56"/>
    </x:row>
    <x:row r="196">
      <x:c r="A196" s="56"/>
      <x:c r="B196" s="56"/>
      <x:c r="C196" s="56"/>
      <x:c r="D196" s="56"/>
      <x:c r="E196" s="56"/>
      <x:c r="F196" s="56"/>
      <x:c r="G196" s="56"/>
      <x:c r="H196" s="56"/>
      <x:c r="I196" s="56"/>
      <x:c r="J196" s="56"/>
      <x:c r="K196" s="56"/>
      <x:c r="L196" s="56"/>
      <x:c r="M196" s="56"/>
      <x:c r="N196" s="56"/>
      <x:c r="O196" s="56"/>
      <x:c r="P196" s="56"/>
      <x:c r="Q196" s="56"/>
    </x:row>
    <x:row r="197">
      <x:c r="A197" s="56"/>
      <x:c r="B197" s="56"/>
      <x:c r="C197" s="56"/>
      <x:c r="D197" s="56"/>
      <x:c r="E197" s="56"/>
      <x:c r="F197" s="56"/>
      <x:c r="G197" s="56"/>
      <x:c r="H197" s="56"/>
      <x:c r="I197" s="56"/>
      <x:c r="J197" s="56"/>
      <x:c r="K197" s="56"/>
      <x:c r="L197" s="56"/>
      <x:c r="M197" s="56"/>
      <x:c r="N197" s="56"/>
      <x:c r="O197" s="56"/>
      <x:c r="P197" s="56"/>
      <x:c r="Q197" s="56"/>
    </x:row>
    <x:row r="198">
      <x:c r="A198" s="56"/>
      <x:c r="B198" s="56"/>
      <x:c r="C198" s="56"/>
      <x:c r="D198" s="56"/>
      <x:c r="E198" s="56"/>
      <x:c r="F198" s="56"/>
      <x:c r="G198" s="56"/>
      <x:c r="H198" s="56"/>
      <x:c r="I198" s="56"/>
      <x:c r="J198" s="56"/>
      <x:c r="K198" s="56"/>
      <x:c r="L198" s="56"/>
      <x:c r="M198" s="56"/>
      <x:c r="N198" s="56"/>
      <x:c r="O198" s="56"/>
      <x:c r="P198" s="56"/>
      <x:c r="Q198" s="56"/>
    </x:row>
    <x:row r="199">
      <x:c r="A199" s="56"/>
      <x:c r="B199" s="56"/>
      <x:c r="C199" s="56"/>
      <x:c r="D199" s="56"/>
      <x:c r="E199" s="56"/>
      <x:c r="F199" s="56"/>
      <x:c r="G199" s="56"/>
      <x:c r="H199" s="56"/>
      <x:c r="I199" s="56"/>
      <x:c r="J199" s="56"/>
      <x:c r="K199" s="56"/>
      <x:c r="L199" s="56"/>
      <x:c r="M199" s="56"/>
      <x:c r="N199" s="56"/>
      <x:c r="O199" s="56"/>
      <x:c r="P199" s="56"/>
      <x:c r="Q199" s="56"/>
    </x:row>
    <x:row r="200">
      <x:c r="A200" s="56"/>
      <x:c r="B200" s="56"/>
      <x:c r="C200" s="56"/>
      <x:c r="D200" s="56"/>
      <x:c r="E200" s="56"/>
      <x:c r="F200" s="56"/>
      <x:c r="G200" s="56"/>
      <x:c r="H200" s="56"/>
      <x:c r="I200" s="56"/>
      <x:c r="J200" s="56"/>
      <x:c r="K200" s="56"/>
      <x:c r="L200" s="56"/>
      <x:c r="M200" s="56"/>
      <x:c r="N200" s="56"/>
      <x:c r="O200" s="56"/>
      <x:c r="P200" s="56"/>
      <x:c r="Q200" s="56"/>
    </x:row>
  </x:sheetData>
  <x:pageMargins left="0.7" right="0.7" top="0.75" bottom="0.75" header="0.3" footer="0.3"/>
  <x:tableParts count="1">
    <x:tablePart xmlns:r="http://schemas.openxmlformats.org/officeDocument/2006/relationships" r:id="R39b3085b93ee48e6"/>
  </x:tableParts>
</x:worksheet>
</file>

<file path=xl/worksheets/sheet6.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15" hidden="0" customWidth="1"/>
    <x:col min="5" max="5" width="9" hidden="0" customWidth="1"/>
    <x:col min="6" max="6" width="12"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3" hidden="0" customWidth="1"/>
    <x:col min="33" max="33" width="13" hidden="0" customWidth="1"/>
    <x:col min="34" max="34" width="13" hidden="0" customWidth="1"/>
    <x:col min="35" max="35" width="12" hidden="0" customWidth="1"/>
    <x:col min="36" max="36" width="12" hidden="0" customWidth="1"/>
    <x:col min="37" max="37" width="12" hidden="0" customWidth="1"/>
    <x:col min="38" max="38" width="11" hidden="0" customWidth="1"/>
    <x:col min="39" max="39" width="11" hidden="0" customWidth="1"/>
    <x:col min="40" max="40" width="11" hidden="0" customWidth="1"/>
    <x:col min="41" max="41" width="11" hidden="0" customWidth="1"/>
  </x:cols>
  <x:sheetData>
    <x:row r="1" ht="38" customHeight="1">
      <x:c r="A1" s="5" t="str">
        <x:v>총괄평가 입력 예시</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row>
    <x:row r="2" ht="34" customHeight="1">
      <x:c r="A2" s="13" t="str">
        <x:v>교사가 실제 사이트에 입력할 값과 동일한 구조입니다. 1~20번은 0/1, 21~25번은 실제 0~4점입니다.</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c r="AF2" s="13"/>
      <x:c r="AG2" s="13"/>
      <x:c r="AH2" s="13"/>
      <x:c r="AI2" s="13"/>
      <x:c r="AJ2" s="13"/>
      <x:c r="AK2" s="13"/>
    </x:row>
    <x:row r="4" ht="28" customHeight="1">
      <x:c r="A4" s="25" t="str">
        <x:v>CourseId</x:v>
      </x:c>
      <x:c r="B4" s="47" t="str">
        <x:v>ExamId</x:v>
      </x:c>
      <x:c r="C4" s="47" t="str">
        <x:v>학교</x:v>
      </x:c>
      <x:c r="D4" s="47" t="str">
        <x:v>이름</x:v>
      </x:c>
      <x:c r="E4" s="47" t="str">
        <x:v>학년</x:v>
      </x:c>
      <x:c r="F4" s="47" t="str">
        <x:v>반번호</x:v>
      </x:c>
      <x:c r="G4" s="47" t="str">
        <x:v>Q1</x:v>
      </x:c>
      <x:c r="H4" s="47" t="str">
        <x:v>Q2</x:v>
      </x:c>
      <x:c r="I4" s="47" t="str">
        <x:v>Q3</x:v>
      </x:c>
      <x:c r="J4" s="47" t="str">
        <x:v>Q4</x:v>
      </x:c>
      <x:c r="K4" s="47" t="str">
        <x:v>Q5</x:v>
      </x:c>
      <x:c r="L4" s="47" t="str">
        <x:v>Q6</x:v>
      </x:c>
      <x:c r="M4" s="47" t="str">
        <x:v>Q7</x:v>
      </x:c>
      <x:c r="N4" s="47" t="str">
        <x:v>Q8</x:v>
      </x:c>
      <x:c r="O4" s="47" t="str">
        <x:v>Q9</x:v>
      </x:c>
      <x:c r="P4" s="47" t="str">
        <x:v>Q10</x:v>
      </x:c>
      <x:c r="Q4" s="47" t="str">
        <x:v>Q11</x:v>
      </x:c>
      <x:c r="R4" s="47" t="str">
        <x:v>Q12</x:v>
      </x:c>
      <x:c r="S4" s="47" t="str">
        <x:v>Q13</x:v>
      </x:c>
      <x:c r="T4" s="47" t="str">
        <x:v>Q14</x:v>
      </x:c>
      <x:c r="U4" s="47" t="str">
        <x:v>Q15</x:v>
      </x:c>
      <x:c r="V4" s="47" t="str">
        <x:v>Q16</x:v>
      </x:c>
      <x:c r="W4" s="47" t="str">
        <x:v>Q17</x:v>
      </x:c>
      <x:c r="X4" s="47" t="str">
        <x:v>Q18</x:v>
      </x:c>
      <x:c r="Y4" s="47" t="str">
        <x:v>Q19</x:v>
      </x:c>
      <x:c r="Z4" s="47" t="str">
        <x:v>Q20</x:v>
      </x:c>
      <x:c r="AA4" s="47" t="str">
        <x:v>Q21</x:v>
      </x:c>
      <x:c r="AB4" s="47" t="str">
        <x:v>Q22</x:v>
      </x:c>
      <x:c r="AC4" s="47" t="str">
        <x:v>Q23</x:v>
      </x:c>
      <x:c r="AD4" s="47" t="str">
        <x:v>Q24</x:v>
      </x:c>
      <x:c r="AE4" s="47" t="str">
        <x:v>Q25</x:v>
      </x:c>
      <x:c r="AF4" s="47" t="str">
        <x:v>객관식정답수</x:v>
      </x:c>
      <x:c r="AG4" s="47" t="str">
        <x:v>객관식점수</x:v>
      </x:c>
      <x:c r="AH4" s="47" t="str">
        <x:v>서술형점수</x:v>
      </x:c>
      <x:c r="AI4" s="47" t="str">
        <x:v>총점</x:v>
      </x:c>
      <x:c r="AJ4" s="47" t="str">
        <x:v>성취율</x:v>
      </x:c>
      <x:c r="AK4" s="26" t="str">
        <x:v>유효성</x:v>
      </x:c>
    </x:row>
    <x:row r="5">
      <x:c r="A5" s="80" t="str">
        <x:v>physics1-basic</x:v>
      </x:c>
      <x:c r="B5" s="80" t="str">
        <x:v>physics1-basic-total-mechanics</x:v>
      </x:c>
      <x:c r="C5" s="80" t="str">
        <x:v>영스고</x:v>
      </x:c>
      <x:c r="D5" s="80" t="str">
        <x:v>김물리</x:v>
      </x:c>
      <x:c r="E5" s="80" t="str">
        <x:v>2</x:v>
      </x:c>
      <x:c r="F5" s="80" t="str"/>
      <x:c r="G5" s="80" t="n">
        <x:v>1</x:v>
      </x:c>
      <x:c r="H5" s="80" t="n">
        <x:v>1</x:v>
      </x:c>
      <x:c r="I5" s="80" t="n">
        <x:v>0</x:v>
      </x:c>
      <x:c r="J5" s="80" t="n">
        <x:v>1</x:v>
      </x:c>
      <x:c r="K5" s="80" t="n">
        <x:v>1</x:v>
      </x:c>
      <x:c r="L5" s="80" t="n">
        <x:v>0</x:v>
      </x:c>
      <x:c r="M5" s="80" t="n">
        <x:v>1</x:v>
      </x:c>
      <x:c r="N5" s="80" t="n">
        <x:v>1</x:v>
      </x:c>
      <x:c r="O5" s="80" t="n">
        <x:v>1</x:v>
      </x:c>
      <x:c r="P5" s="80" t="n">
        <x:v>1</x:v>
      </x:c>
      <x:c r="Q5" s="80" t="n">
        <x:v>0</x:v>
      </x:c>
      <x:c r="R5" s="80" t="n">
        <x:v>1</x:v>
      </x:c>
      <x:c r="S5" s="80" t="n">
        <x:v>1</x:v>
      </x:c>
      <x:c r="T5" s="80" t="n">
        <x:v>1</x:v>
      </x:c>
      <x:c r="U5" s="80" t="n">
        <x:v>1</x:v>
      </x:c>
      <x:c r="V5" s="80" t="n">
        <x:v>0</x:v>
      </x:c>
      <x:c r="W5" s="80" t="n">
        <x:v>1</x:v>
      </x:c>
      <x:c r="X5" s="80" t="n">
        <x:v>1</x:v>
      </x:c>
      <x:c r="Y5" s="80" t="n">
        <x:v>1</x:v>
      </x:c>
      <x:c r="Z5" s="80" t="n">
        <x:v>0</x:v>
      </x:c>
      <x:c r="AA5" s="80" t="n">
        <x:v>4</x:v>
      </x:c>
      <x:c r="AB5" s="80" t="n">
        <x:v>2</x:v>
      </x:c>
      <x:c r="AC5" s="80" t="n">
        <x:v>3</x:v>
      </x:c>
      <x:c r="AD5" s="80" t="n">
        <x:v>1</x:v>
      </x:c>
      <x:c r="AE5" s="80" t="n">
        <x:v>4</x:v>
      </x:c>
      <x:c r="AF5" s="80" t="n">
        <x:f>COUNTIF(G5:Z5,1)</x:f>
        <x:v>15</x:v>
      </x:c>
      <x:c r="AG5" s="80" t="n">
        <x:f>SUM(G5:Z5)*4</x:f>
        <x:v>60</x:v>
      </x:c>
      <x:c r="AH5" s="80" t="n">
        <x:f>SUM(AA5:AE5)</x:f>
        <x:v>14</x:v>
      </x:c>
      <x:c r="AI5" s="80" t="n">
        <x:f>AG5+AH5</x:f>
        <x:v>74</x:v>
      </x:c>
      <x:c r="AJ5" s="81" t="n">
        <x:f>AI5/100</x:f>
        <x:v>0.74</x:v>
      </x:c>
      <x:c r="AK5" s="80" t="str">
        <x:f>IF(AND(COUNTA(G5:Z5)=20,COUNTIF(G5:Z5,0)+COUNTIF(G5:Z5,1)=20,COUNTA(AA5:AE5)=5,MIN(AA5:AE5)&gt;=0,MAX(AA5:AE5)&lt;=4),"OK","확인")</x:f>
        <x:v>OK</x:v>
      </x:c>
    </x:row>
    <x:row r="6">
      <x:c r="A6" s="80" t="str">
        <x:v>physics1-basic</x:v>
      </x:c>
      <x:c r="B6" s="80" t="str">
        <x:v>physics1-basic-total-electromagnetism</x:v>
      </x:c>
      <x:c r="C6" s="80" t="str">
        <x:v>영스고</x:v>
      </x:c>
      <x:c r="D6" s="80" t="str">
        <x:v>이전자</x:v>
      </x:c>
      <x:c r="E6" s="80" t="str">
        <x:v>2</x:v>
      </x:c>
      <x:c r="F6" s="80" t="str"/>
      <x:c r="G6" s="80" t="n">
        <x:v>1</x:v>
      </x:c>
      <x:c r="H6" s="80" t="n">
        <x:v>1</x:v>
      </x:c>
      <x:c r="I6" s="80" t="n">
        <x:v>1</x:v>
      </x:c>
      <x:c r="J6" s="80" t="n">
        <x:v>0</x:v>
      </x:c>
      <x:c r="K6" s="80" t="n">
        <x:v>1</x:v>
      </x:c>
      <x:c r="L6" s="80" t="n">
        <x:v>1</x:v>
      </x:c>
      <x:c r="M6" s="80" t="n">
        <x:v>1</x:v>
      </x:c>
      <x:c r="N6" s="80" t="n">
        <x:v>1</x:v>
      </x:c>
      <x:c r="O6" s="80" t="n">
        <x:v>1</x:v>
      </x:c>
      <x:c r="P6" s="80" t="n">
        <x:v>0</x:v>
      </x:c>
      <x:c r="Q6" s="80" t="n">
        <x:v>1</x:v>
      </x:c>
      <x:c r="R6" s="80" t="n">
        <x:v>1</x:v>
      </x:c>
      <x:c r="S6" s="80" t="n">
        <x:v>0</x:v>
      </x:c>
      <x:c r="T6" s="80" t="n">
        <x:v>1</x:v>
      </x:c>
      <x:c r="U6" s="80" t="n">
        <x:v>1</x:v>
      </x:c>
      <x:c r="V6" s="80" t="n">
        <x:v>1</x:v>
      </x:c>
      <x:c r="W6" s="80" t="n">
        <x:v>1</x:v>
      </x:c>
      <x:c r="X6" s="80" t="n">
        <x:v>1</x:v>
      </x:c>
      <x:c r="Y6" s="80" t="n">
        <x:v>1</x:v>
      </x:c>
      <x:c r="Z6" s="80" t="n">
        <x:v>0</x:v>
      </x:c>
      <x:c r="AA6" s="80" t="n">
        <x:v>3</x:v>
      </x:c>
      <x:c r="AB6" s="80" t="n">
        <x:v>4</x:v>
      </x:c>
      <x:c r="AC6" s="80" t="n">
        <x:v>2</x:v>
      </x:c>
      <x:c r="AD6" s="80" t="n">
        <x:v>4</x:v>
      </x:c>
      <x:c r="AE6" s="80" t="n">
        <x:v>3</x:v>
      </x:c>
      <x:c r="AF6" s="80" t="n">
        <x:f>COUNTIF(G6:Z6,1)</x:f>
        <x:v>16</x:v>
      </x:c>
      <x:c r="AG6" s="80" t="n">
        <x:f>SUM(G6:Z6)*4</x:f>
        <x:v>64</x:v>
      </x:c>
      <x:c r="AH6" s="80" t="n">
        <x:f>SUM(AA6:AE6)</x:f>
        <x:v>16</x:v>
      </x:c>
      <x:c r="AI6" s="80" t="n">
        <x:f>AG6+AH6</x:f>
        <x:v>80</x:v>
      </x:c>
      <x:c r="AJ6" s="81" t="n">
        <x:f>AI6/100</x:f>
        <x:v>0.8</x:v>
      </x:c>
      <x:c r="AK6" s="80" t="str">
        <x:f>IF(AND(COUNTA(G6:Z6)=20,COUNTIF(G6:Z6,0)+COUNTIF(G6:Z6,1)=20,COUNTA(AA6:AE6)=5,MIN(AA6:AE6)&gt;=0,MAX(AA6:AE6)&lt;=4),"OK","확인")</x:f>
        <x:v>OK</x:v>
      </x:c>
    </x:row>
    <x:row r="7">
      <x:c r="A7" s="80" t="str">
        <x:v>physics1-basic</x:v>
      </x:c>
      <x:c r="B7" s="80" t="str">
        <x:v>physics1-basic-total-mechanics</x:v>
      </x:c>
      <x:c r="C7" s="80" t="str">
        <x:v>예시고</x:v>
      </x:c>
      <x:c r="D7" s="80" t="str">
        <x:v>박역학</x:v>
      </x:c>
      <x:c r="E7" s="80" t="str">
        <x:v>2</x:v>
      </x:c>
      <x:c r="F7" s="80" t="str"/>
      <x:c r="G7" s="80" t="n">
        <x:v>1</x:v>
      </x:c>
      <x:c r="H7" s="80" t="n">
        <x:v>1</x:v>
      </x:c>
      <x:c r="I7" s="80" t="n">
        <x:v>1</x:v>
      </x:c>
      <x:c r="J7" s="80" t="n">
        <x:v>1</x:v>
      </x:c>
      <x:c r="K7" s="80" t="n">
        <x:v>1</x:v>
      </x:c>
      <x:c r="L7" s="80" t="n">
        <x:v>1</x:v>
      </x:c>
      <x:c r="M7" s="80" t="n">
        <x:v>1</x:v>
      </x:c>
      <x:c r="N7" s="80" t="n">
        <x:v>1</x:v>
      </x:c>
      <x:c r="O7" s="80" t="n">
        <x:v>1</x:v>
      </x:c>
      <x:c r="P7" s="80" t="n">
        <x:v>1</x:v>
      </x:c>
      <x:c r="Q7" s="80" t="n">
        <x:v>1</x:v>
      </x:c>
      <x:c r="R7" s="80" t="n">
        <x:v>1</x:v>
      </x:c>
      <x:c r="S7" s="80" t="n">
        <x:v>1</x:v>
      </x:c>
      <x:c r="T7" s="80" t="n">
        <x:v>1</x:v>
      </x:c>
      <x:c r="U7" s="80" t="n">
        <x:v>1</x:v>
      </x:c>
      <x:c r="V7" s="80" t="n">
        <x:v>1</x:v>
      </x:c>
      <x:c r="W7" s="80" t="n">
        <x:v>1</x:v>
      </x:c>
      <x:c r="X7" s="80" t="n">
        <x:v>1</x:v>
      </x:c>
      <x:c r="Y7" s="80" t="n">
        <x:v>1</x:v>
      </x:c>
      <x:c r="Z7" s="80" t="n">
        <x:v>1</x:v>
      </x:c>
      <x:c r="AA7" s="80" t="n">
        <x:v>4</x:v>
      </x:c>
      <x:c r="AB7" s="80" t="n">
        <x:v>4</x:v>
      </x:c>
      <x:c r="AC7" s="80" t="n">
        <x:v>4</x:v>
      </x:c>
      <x:c r="AD7" s="80" t="n">
        <x:v>4</x:v>
      </x:c>
      <x:c r="AE7" s="80" t="n">
        <x:v>4</x:v>
      </x:c>
      <x:c r="AF7" s="80" t="n">
        <x:f>COUNTIF(G7:Z7,1)</x:f>
        <x:v>20</x:v>
      </x:c>
      <x:c r="AG7" s="80" t="n">
        <x:f>SUM(G7:Z7)*4</x:f>
        <x:v>80</x:v>
      </x:c>
      <x:c r="AH7" s="80" t="n">
        <x:f>SUM(AA7:AE7)</x:f>
        <x:v>20</x:v>
      </x:c>
      <x:c r="AI7" s="80" t="n">
        <x:f>AG7+AH7</x:f>
        <x:v>100</x:v>
      </x:c>
      <x:c r="AJ7" s="81" t="n">
        <x:f>AI7/100</x:f>
        <x:v>1</x:v>
      </x:c>
      <x:c r="AK7" s="80" t="str">
        <x:f>IF(AND(COUNTA(G7:Z7)=20,COUNTIF(G7:Z7,0)+COUNTIF(G7:Z7,1)=20,COUNTA(AA7:AE7)=5,MIN(AA7:AE7)&gt;=0,MAX(AA7:AE7)&lt;=4),"OK","확인")</x:f>
        <x:v>OK</x:v>
      </x:c>
    </x:row>
    <x:row r="8">
      <x:c r="A8" s="80"/>
      <x:c r="B8" s="80"/>
      <x:c r="C8" s="80"/>
      <x:c r="D8" s="80"/>
      <x:c r="E8" s="80"/>
      <x:c r="F8" s="80"/>
      <x:c r="G8" s="80"/>
      <x:c r="H8" s="80"/>
      <x:c r="I8" s="80"/>
      <x:c r="J8" s="80"/>
      <x:c r="K8" s="80"/>
      <x:c r="L8" s="80"/>
      <x:c r="M8" s="80"/>
      <x:c r="N8" s="80"/>
      <x:c r="O8" s="80"/>
      <x:c r="P8" s="80"/>
      <x:c r="Q8" s="80"/>
      <x:c r="R8" s="80"/>
      <x:c r="S8" s="80"/>
      <x:c r="T8" s="80"/>
      <x:c r="U8" s="80"/>
      <x:c r="V8" s="80"/>
      <x:c r="W8" s="80"/>
      <x:c r="X8" s="80"/>
      <x:c r="Y8" s="80"/>
      <x:c r="Z8" s="80"/>
      <x:c r="AA8" s="80"/>
      <x:c r="AB8" s="80"/>
      <x:c r="AC8" s="80"/>
      <x:c r="AD8" s="80"/>
      <x:c r="AE8" s="80"/>
      <x:c r="AF8" s="80" t="str">
        <x:f>IF(COUNTA(A8:AE8)=0,"",COUNTIF(G8:Z8,1))</x:f>
      </x:c>
      <x:c r="AG8" s="80" t="str">
        <x:f>IF(AF8="","",SUM(G8:Z8)*4)</x:f>
      </x:c>
      <x:c r="AH8" s="80" t="str">
        <x:f>IF(AF8="","",SUM(AA8:AE8))</x:f>
      </x:c>
      <x:c r="AI8" s="80" t="str">
        <x:f>IF(AF8="","",AG8+AH8)</x:f>
      </x:c>
      <x:c r="AJ8" s="81" t="str">
        <x:f>IF(AF8="","",AI8/100)</x:f>
      </x:c>
      <x:c r="AK8" s="80" t="str">
        <x:f>IF(COUNTA(A8:AE8)=0,"",IF(AND(COUNTA(G8:Z8)=20,COUNTIF(G8:Z8,0)+COUNTIF(G8:Z8,1)=20,COUNTA(AA8:AE8)=5,MIN(AA8:AE8)&gt;=0,MAX(AA8:AE8)&lt;=4),"OK","확인"))</x:f>
      </x:c>
    </x:row>
    <x:row r="9">
      <x:c r="A9" s="80"/>
      <x:c r="B9" s="80"/>
      <x:c r="C9" s="80"/>
      <x:c r="D9" s="80"/>
      <x:c r="E9" s="80"/>
      <x:c r="F9" s="80"/>
      <x:c r="G9" s="80"/>
      <x:c r="H9" s="80"/>
      <x:c r="I9" s="80"/>
      <x:c r="J9" s="80"/>
      <x:c r="K9" s="80"/>
      <x:c r="L9" s="80"/>
      <x:c r="M9" s="80"/>
      <x:c r="N9" s="80"/>
      <x:c r="O9" s="80"/>
      <x:c r="P9" s="80"/>
      <x:c r="Q9" s="80"/>
      <x:c r="R9" s="80"/>
      <x:c r="S9" s="80"/>
      <x:c r="T9" s="80"/>
      <x:c r="U9" s="80"/>
      <x:c r="V9" s="80"/>
      <x:c r="W9" s="80"/>
      <x:c r="X9" s="80"/>
      <x:c r="Y9" s="80"/>
      <x:c r="Z9" s="80"/>
      <x:c r="AA9" s="80"/>
      <x:c r="AB9" s="80"/>
      <x:c r="AC9" s="80"/>
      <x:c r="AD9" s="80"/>
      <x:c r="AE9" s="80"/>
      <x:c r="AF9" s="80" t="str">
        <x:f>IF(COUNTA(A9:AE9)=0,"",COUNTIF(G9:Z9,1))</x:f>
      </x:c>
      <x:c r="AG9" s="80" t="str">
        <x:f>IF(AF9="","",SUM(G9:Z9)*4)</x:f>
      </x:c>
      <x:c r="AH9" s="80" t="str">
        <x:f>IF(AF9="","",SUM(AA9:AE9))</x:f>
      </x:c>
      <x:c r="AI9" s="80" t="str">
        <x:f>IF(AF9="","",AG9+AH9)</x:f>
      </x:c>
      <x:c r="AJ9" s="81" t="str">
        <x:f>IF(AF9="","",AI9/100)</x:f>
      </x:c>
      <x:c r="AK9" s="80" t="str">
        <x:f>IF(COUNTA(A9:AE9)=0,"",IF(AND(COUNTA(G9:Z9)=20,COUNTIF(G9:Z9,0)+COUNTIF(G9:Z9,1)=20,COUNTA(AA9:AE9)=5,MIN(AA9:AE9)&gt;=0,MAX(AA9:AE9)&lt;=4),"OK","확인"))</x:f>
      </x:c>
    </x:row>
    <x:row r="10">
      <x:c r="A10" s="80"/>
      <x:c r="B10" s="80"/>
      <x:c r="C10" s="80"/>
      <x:c r="D10" s="80"/>
      <x:c r="E10" s="80"/>
      <x:c r="F10" s="80"/>
      <x:c r="G10" s="80"/>
      <x:c r="H10" s="80"/>
      <x:c r="I10" s="80"/>
      <x:c r="J10" s="80"/>
      <x:c r="K10" s="80"/>
      <x:c r="L10" s="80"/>
      <x:c r="M10" s="80"/>
      <x:c r="N10" s="80"/>
      <x:c r="O10" s="80"/>
      <x:c r="P10" s="80"/>
      <x:c r="Q10" s="80"/>
      <x:c r="R10" s="80"/>
      <x:c r="S10" s="80"/>
      <x:c r="T10" s="80"/>
      <x:c r="U10" s="80"/>
      <x:c r="V10" s="80"/>
      <x:c r="W10" s="80"/>
      <x:c r="X10" s="80"/>
      <x:c r="Y10" s="80"/>
      <x:c r="Z10" s="80"/>
      <x:c r="AA10" s="80"/>
      <x:c r="AB10" s="80"/>
      <x:c r="AC10" s="80"/>
      <x:c r="AD10" s="80"/>
      <x:c r="AE10" s="80"/>
      <x:c r="AF10" s="80" t="str">
        <x:f>IF(COUNTA(A10:AE10)=0,"",COUNTIF(G10:Z10,1))</x:f>
      </x:c>
      <x:c r="AG10" s="80" t="str">
        <x:f>IF(AF10="","",SUM(G10:Z10)*4)</x:f>
      </x:c>
      <x:c r="AH10" s="80" t="str">
        <x:f>IF(AF10="","",SUM(AA10:AE10))</x:f>
      </x:c>
      <x:c r="AI10" s="80" t="str">
        <x:f>IF(AF10="","",AG10+AH10)</x:f>
      </x:c>
      <x:c r="AJ10" s="81" t="str">
        <x:f>IF(AF10="","",AI10/100)</x:f>
      </x:c>
      <x:c r="AK10" s="80" t="str">
        <x:f>IF(COUNTA(A10:AE10)=0,"",IF(AND(COUNTA(G10:Z10)=20,COUNTIF(G10:Z10,0)+COUNTIF(G10:Z10,1)=20,COUNTA(AA10:AE10)=5,MIN(AA10:AE10)&gt;=0,MAX(AA10:AE10)&lt;=4),"OK","확인"))</x:f>
      </x:c>
    </x:row>
    <x:row r="11">
      <x:c r="A11" s="80"/>
      <x:c r="B11" s="80"/>
      <x:c r="C11" s="80"/>
      <x:c r="D11" s="80"/>
      <x:c r="E11" s="80"/>
      <x:c r="F11" s="80"/>
      <x:c r="G11" s="80"/>
      <x:c r="H11" s="80"/>
      <x:c r="I11" s="80"/>
      <x:c r="J11" s="80"/>
      <x:c r="K11" s="80"/>
      <x:c r="L11" s="80"/>
      <x:c r="M11" s="80"/>
      <x:c r="N11" s="80"/>
      <x:c r="O11" s="80"/>
      <x:c r="P11" s="80"/>
      <x:c r="Q11" s="80"/>
      <x:c r="R11" s="80"/>
      <x:c r="S11" s="80"/>
      <x:c r="T11" s="80"/>
      <x:c r="U11" s="80"/>
      <x:c r="V11" s="80"/>
      <x:c r="W11" s="80"/>
      <x:c r="X11" s="80"/>
      <x:c r="Y11" s="80"/>
      <x:c r="Z11" s="80"/>
      <x:c r="AA11" s="80"/>
      <x:c r="AB11" s="80"/>
      <x:c r="AC11" s="80"/>
      <x:c r="AD11" s="80"/>
      <x:c r="AE11" s="80"/>
      <x:c r="AF11" s="80" t="str">
        <x:f>IF(COUNTA(A11:AE11)=0,"",COUNTIF(G11:Z11,1))</x:f>
      </x:c>
      <x:c r="AG11" s="80" t="str">
        <x:f>IF(AF11="","",SUM(G11:Z11)*4)</x:f>
      </x:c>
      <x:c r="AH11" s="80" t="str">
        <x:f>IF(AF11="","",SUM(AA11:AE11))</x:f>
      </x:c>
      <x:c r="AI11" s="80" t="str">
        <x:f>IF(AF11="","",AG11+AH11)</x:f>
      </x:c>
      <x:c r="AJ11" s="81" t="str">
        <x:f>IF(AF11="","",AI11/100)</x:f>
      </x:c>
      <x:c r="AK11" s="80" t="str">
        <x:f>IF(COUNTA(A11:AE11)=0,"",IF(AND(COUNTA(G11:Z11)=20,COUNTIF(G11:Z11,0)+COUNTIF(G11:Z11,1)=20,COUNTA(AA11:AE11)=5,MIN(AA11:AE11)&gt;=0,MAX(AA11:AE11)&lt;=4),"OK","확인"))</x:f>
      </x:c>
    </x:row>
    <x:row r="12">
      <x:c r="A12" s="80"/>
      <x:c r="B12" s="80"/>
      <x:c r="C12" s="80"/>
      <x:c r="D12" s="80"/>
      <x:c r="E12" s="80"/>
      <x:c r="F12" s="80"/>
      <x:c r="G12" s="80"/>
      <x:c r="H12" s="80"/>
      <x:c r="I12" s="80"/>
      <x:c r="J12" s="80"/>
      <x:c r="K12" s="80"/>
      <x:c r="L12" s="80"/>
      <x:c r="M12" s="80"/>
      <x:c r="N12" s="80"/>
      <x:c r="O12" s="80"/>
      <x:c r="P12" s="80"/>
      <x:c r="Q12" s="80"/>
      <x:c r="R12" s="80"/>
      <x:c r="S12" s="80"/>
      <x:c r="T12" s="80"/>
      <x:c r="U12" s="80"/>
      <x:c r="V12" s="80"/>
      <x:c r="W12" s="80"/>
      <x:c r="X12" s="80"/>
      <x:c r="Y12" s="80"/>
      <x:c r="Z12" s="80"/>
      <x:c r="AA12" s="80"/>
      <x:c r="AB12" s="80"/>
      <x:c r="AC12" s="80"/>
      <x:c r="AD12" s="80"/>
      <x:c r="AE12" s="80"/>
      <x:c r="AF12" s="80" t="str">
        <x:f>IF(COUNTA(A12:AE12)=0,"",COUNTIF(G12:Z12,1))</x:f>
      </x:c>
      <x:c r="AG12" s="80" t="str">
        <x:f>IF(AF12="","",SUM(G12:Z12)*4)</x:f>
      </x:c>
      <x:c r="AH12" s="80" t="str">
        <x:f>IF(AF12="","",SUM(AA12:AE12))</x:f>
      </x:c>
      <x:c r="AI12" s="80" t="str">
        <x:f>IF(AF12="","",AG12+AH12)</x:f>
      </x:c>
      <x:c r="AJ12" s="81" t="str">
        <x:f>IF(AF12="","",AI12/100)</x:f>
      </x:c>
      <x:c r="AK12" s="80" t="str">
        <x:f>IF(COUNTA(A12:AE12)=0,"",IF(AND(COUNTA(G12:Z12)=20,COUNTIF(G12:Z12,0)+COUNTIF(G12:Z12,1)=20,COUNTA(AA12:AE12)=5,MIN(AA12:AE12)&gt;=0,MAX(AA12:AE12)&lt;=4),"OK","확인"))</x:f>
      </x:c>
    </x:row>
    <x:row r="13">
      <x:c r="A13" s="80"/>
      <x:c r="B13" s="80"/>
      <x:c r="C13" s="80"/>
      <x:c r="D13" s="80"/>
      <x:c r="E13" s="80"/>
      <x:c r="F13" s="80"/>
      <x:c r="G13" s="80"/>
      <x:c r="H13" s="80"/>
      <x:c r="I13" s="80"/>
      <x:c r="J13" s="80"/>
      <x:c r="K13" s="80"/>
      <x:c r="L13" s="80"/>
      <x:c r="M13" s="80"/>
      <x:c r="N13" s="80"/>
      <x:c r="O13" s="80"/>
      <x:c r="P13" s="80"/>
      <x:c r="Q13" s="80"/>
      <x:c r="R13" s="80"/>
      <x:c r="S13" s="80"/>
      <x:c r="T13" s="80"/>
      <x:c r="U13" s="80"/>
      <x:c r="V13" s="80"/>
      <x:c r="W13" s="80"/>
      <x:c r="X13" s="80"/>
      <x:c r="Y13" s="80"/>
      <x:c r="Z13" s="80"/>
      <x:c r="AA13" s="80"/>
      <x:c r="AB13" s="80"/>
      <x:c r="AC13" s="80"/>
      <x:c r="AD13" s="80"/>
      <x:c r="AE13" s="80"/>
      <x:c r="AF13" s="80" t="str">
        <x:f>IF(COUNTA(A13:AE13)=0,"",COUNTIF(G13:Z13,1))</x:f>
      </x:c>
      <x:c r="AG13" s="80" t="str">
        <x:f>IF(AF13="","",SUM(G13:Z13)*4)</x:f>
      </x:c>
      <x:c r="AH13" s="80" t="str">
        <x:f>IF(AF13="","",SUM(AA13:AE13))</x:f>
      </x:c>
      <x:c r="AI13" s="80" t="str">
        <x:f>IF(AF13="","",AG13+AH13)</x:f>
      </x:c>
      <x:c r="AJ13" s="81" t="str">
        <x:f>IF(AF13="","",AI13/100)</x:f>
      </x:c>
      <x:c r="AK13" s="80" t="str">
        <x:f>IF(COUNTA(A13:AE13)=0,"",IF(AND(COUNTA(G13:Z13)=20,COUNTIF(G13:Z13,0)+COUNTIF(G13:Z13,1)=20,COUNTA(AA13:AE13)=5,MIN(AA13:AE13)&gt;=0,MAX(AA13:AE13)&lt;=4),"OK","확인"))</x:f>
      </x:c>
    </x:row>
    <x:row r="14">
      <x:c r="A14" s="80"/>
      <x:c r="B14" s="80"/>
      <x:c r="C14" s="80"/>
      <x:c r="D14" s="80"/>
      <x:c r="E14" s="80"/>
      <x:c r="F14" s="80"/>
      <x:c r="G14" s="80"/>
      <x:c r="H14" s="80"/>
      <x:c r="I14" s="80"/>
      <x:c r="J14" s="80"/>
      <x:c r="K14" s="80"/>
      <x:c r="L14" s="80"/>
      <x:c r="M14" s="80"/>
      <x:c r="N14" s="80"/>
      <x:c r="O14" s="80"/>
      <x:c r="P14" s="80"/>
      <x:c r="Q14" s="80"/>
      <x:c r="R14" s="80"/>
      <x:c r="S14" s="80"/>
      <x:c r="T14" s="80"/>
      <x:c r="U14" s="80"/>
      <x:c r="V14" s="80"/>
      <x:c r="W14" s="80"/>
      <x:c r="X14" s="80"/>
      <x:c r="Y14" s="80"/>
      <x:c r="Z14" s="80"/>
      <x:c r="AA14" s="80"/>
      <x:c r="AB14" s="80"/>
      <x:c r="AC14" s="80"/>
      <x:c r="AD14" s="80"/>
      <x:c r="AE14" s="80"/>
      <x:c r="AF14" s="80" t="str">
        <x:f>IF(COUNTA(A14:AE14)=0,"",COUNTIF(G14:Z14,1))</x:f>
      </x:c>
      <x:c r="AG14" s="80" t="str">
        <x:f>IF(AF14="","",SUM(G14:Z14)*4)</x:f>
      </x:c>
      <x:c r="AH14" s="80" t="str">
        <x:f>IF(AF14="","",SUM(AA14:AE14))</x:f>
      </x:c>
      <x:c r="AI14" s="80" t="str">
        <x:f>IF(AF14="","",AG14+AH14)</x:f>
      </x:c>
      <x:c r="AJ14" s="81" t="str">
        <x:f>IF(AF14="","",AI14/100)</x:f>
      </x:c>
      <x:c r="AK14" s="80" t="str">
        <x:f>IF(COUNTA(A14:AE14)=0,"",IF(AND(COUNTA(G14:Z14)=20,COUNTIF(G14:Z14,0)+COUNTIF(G14:Z14,1)=20,COUNTA(AA14:AE14)=5,MIN(AA14:AE14)&gt;=0,MAX(AA14:AE14)&lt;=4),"OK","확인"))</x:f>
      </x:c>
    </x:row>
    <x:row r="15">
      <x:c r="A15" s="80"/>
      <x:c r="B15" s="80"/>
      <x:c r="C15" s="80"/>
      <x:c r="D15" s="80"/>
      <x:c r="E15" s="80"/>
      <x:c r="F15" s="80"/>
      <x:c r="G15" s="80"/>
      <x:c r="H15" s="80"/>
      <x:c r="I15" s="80"/>
      <x:c r="J15" s="80"/>
      <x:c r="K15" s="80"/>
      <x:c r="L15" s="80"/>
      <x:c r="M15" s="80"/>
      <x:c r="N15" s="80"/>
      <x:c r="O15" s="80"/>
      <x:c r="P15" s="80"/>
      <x:c r="Q15" s="80"/>
      <x:c r="R15" s="80"/>
      <x:c r="S15" s="80"/>
      <x:c r="T15" s="80"/>
      <x:c r="U15" s="80"/>
      <x:c r="V15" s="80"/>
      <x:c r="W15" s="80"/>
      <x:c r="X15" s="80"/>
      <x:c r="Y15" s="80"/>
      <x:c r="Z15" s="80"/>
      <x:c r="AA15" s="80"/>
      <x:c r="AB15" s="80"/>
      <x:c r="AC15" s="80"/>
      <x:c r="AD15" s="80"/>
      <x:c r="AE15" s="80"/>
      <x:c r="AF15" s="80" t="str">
        <x:f>IF(COUNTA(A15:AE15)=0,"",COUNTIF(G15:Z15,1))</x:f>
      </x:c>
      <x:c r="AG15" s="80" t="str">
        <x:f>IF(AF15="","",SUM(G15:Z15)*4)</x:f>
      </x:c>
      <x:c r="AH15" s="80" t="str">
        <x:f>IF(AF15="","",SUM(AA15:AE15))</x:f>
      </x:c>
      <x:c r="AI15" s="80" t="str">
        <x:f>IF(AF15="","",AG15+AH15)</x:f>
      </x:c>
      <x:c r="AJ15" s="81" t="str">
        <x:f>IF(AF15="","",AI15/100)</x:f>
      </x:c>
      <x:c r="AK15" s="80" t="str">
        <x:f>IF(COUNTA(A15:AE15)=0,"",IF(AND(COUNTA(G15:Z15)=20,COUNTIF(G15:Z15,0)+COUNTIF(G15:Z15,1)=20,COUNTA(AA15:AE15)=5,MIN(AA15:AE15)&gt;=0,MAX(AA15:AE15)&lt;=4),"OK","확인"))</x:f>
      </x:c>
    </x:row>
    <x:row r="16">
      <x:c r="A16" s="80"/>
      <x:c r="B16" s="80"/>
      <x:c r="C16" s="80"/>
      <x:c r="D16" s="80"/>
      <x:c r="E16" s="80"/>
      <x:c r="F16" s="80"/>
      <x:c r="G16" s="80"/>
      <x:c r="H16" s="80"/>
      <x:c r="I16" s="80"/>
      <x:c r="J16" s="80"/>
      <x:c r="K16" s="80"/>
      <x:c r="L16" s="80"/>
      <x:c r="M16" s="80"/>
      <x:c r="N16" s="80"/>
      <x:c r="O16" s="80"/>
      <x:c r="P16" s="80"/>
      <x:c r="Q16" s="80"/>
      <x:c r="R16" s="80"/>
      <x:c r="S16" s="80"/>
      <x:c r="T16" s="80"/>
      <x:c r="U16" s="80"/>
      <x:c r="V16" s="80"/>
      <x:c r="W16" s="80"/>
      <x:c r="X16" s="80"/>
      <x:c r="Y16" s="80"/>
      <x:c r="Z16" s="80"/>
      <x:c r="AA16" s="80"/>
      <x:c r="AB16" s="80"/>
      <x:c r="AC16" s="80"/>
      <x:c r="AD16" s="80"/>
      <x:c r="AE16" s="80"/>
      <x:c r="AF16" s="80" t="str">
        <x:f>IF(COUNTA(A16:AE16)=0,"",COUNTIF(G16:Z16,1))</x:f>
      </x:c>
      <x:c r="AG16" s="80" t="str">
        <x:f>IF(AF16="","",SUM(G16:Z16)*4)</x:f>
      </x:c>
      <x:c r="AH16" s="80" t="str">
        <x:f>IF(AF16="","",SUM(AA16:AE16))</x:f>
      </x:c>
      <x:c r="AI16" s="80" t="str">
        <x:f>IF(AF16="","",AG16+AH16)</x:f>
      </x:c>
      <x:c r="AJ16" s="81" t="str">
        <x:f>IF(AF16="","",AI16/100)</x:f>
      </x:c>
      <x:c r="AK16" s="80" t="str">
        <x:f>IF(COUNTA(A16:AE16)=0,"",IF(AND(COUNTA(G16:Z16)=20,COUNTIF(G16:Z16,0)+COUNTIF(G16:Z16,1)=20,COUNTA(AA16:AE16)=5,MIN(AA16:AE16)&gt;=0,MAX(AA16:AE16)&lt;=4),"OK","확인"))</x:f>
      </x:c>
    </x:row>
    <x:row r="17">
      <x:c r="A17" s="80"/>
      <x:c r="B17" s="80"/>
      <x:c r="C17" s="80"/>
      <x:c r="D17" s="80"/>
      <x:c r="E17" s="80"/>
      <x:c r="F17" s="80"/>
      <x:c r="G17" s="80"/>
      <x:c r="H17" s="80"/>
      <x:c r="I17" s="80"/>
      <x:c r="J17" s="80"/>
      <x:c r="K17" s="80"/>
      <x:c r="L17" s="80"/>
      <x:c r="M17" s="80"/>
      <x:c r="N17" s="80"/>
      <x:c r="O17" s="80"/>
      <x:c r="P17" s="80"/>
      <x:c r="Q17" s="80"/>
      <x:c r="R17" s="80"/>
      <x:c r="S17" s="80"/>
      <x:c r="T17" s="80"/>
      <x:c r="U17" s="80"/>
      <x:c r="V17" s="80"/>
      <x:c r="W17" s="80"/>
      <x:c r="X17" s="80"/>
      <x:c r="Y17" s="80"/>
      <x:c r="Z17" s="80"/>
      <x:c r="AA17" s="80"/>
      <x:c r="AB17" s="80"/>
      <x:c r="AC17" s="80"/>
      <x:c r="AD17" s="80"/>
      <x:c r="AE17" s="80"/>
      <x:c r="AF17" s="80" t="str">
        <x:f>IF(COUNTA(A17:AE17)=0,"",COUNTIF(G17:Z17,1))</x:f>
      </x:c>
      <x:c r="AG17" s="80" t="str">
        <x:f>IF(AF17="","",SUM(G17:Z17)*4)</x:f>
      </x:c>
      <x:c r="AH17" s="80" t="str">
        <x:f>IF(AF17="","",SUM(AA17:AE17))</x:f>
      </x:c>
      <x:c r="AI17" s="80" t="str">
        <x:f>IF(AF17="","",AG17+AH17)</x:f>
      </x:c>
      <x:c r="AJ17" s="81" t="str">
        <x:f>IF(AF17="","",AI17/100)</x:f>
      </x:c>
      <x:c r="AK17" s="80" t="str">
        <x:f>IF(COUNTA(A17:AE17)=0,"",IF(AND(COUNTA(G17:Z17)=20,COUNTIF(G17:Z17,0)+COUNTIF(G17:Z17,1)=20,COUNTA(AA17:AE17)=5,MIN(AA17:AE17)&gt;=0,MAX(AA17:AE17)&lt;=4),"OK","확인"))</x:f>
      </x:c>
    </x:row>
    <x:row r="18">
      <x:c r="A18" s="80"/>
      <x:c r="B18" s="80"/>
      <x:c r="C18" s="80"/>
      <x:c r="D18" s="80"/>
      <x:c r="E18" s="80"/>
      <x:c r="F18" s="80"/>
      <x:c r="G18" s="80"/>
      <x:c r="H18" s="80"/>
      <x:c r="I18" s="80"/>
      <x:c r="J18" s="80"/>
      <x:c r="K18" s="80"/>
      <x:c r="L18" s="80"/>
      <x:c r="M18" s="80"/>
      <x:c r="N18" s="80"/>
      <x:c r="O18" s="80"/>
      <x:c r="P18" s="80"/>
      <x:c r="Q18" s="80"/>
      <x:c r="R18" s="80"/>
      <x:c r="S18" s="80"/>
      <x:c r="T18" s="80"/>
      <x:c r="U18" s="80"/>
      <x:c r="V18" s="80"/>
      <x:c r="W18" s="80"/>
      <x:c r="X18" s="80"/>
      <x:c r="Y18" s="80"/>
      <x:c r="Z18" s="80"/>
      <x:c r="AA18" s="80"/>
      <x:c r="AB18" s="80"/>
      <x:c r="AC18" s="80"/>
      <x:c r="AD18" s="80"/>
      <x:c r="AE18" s="80"/>
      <x:c r="AF18" s="80" t="str">
        <x:f>IF(COUNTA(A18:AE18)=0,"",COUNTIF(G18:Z18,1))</x:f>
      </x:c>
      <x:c r="AG18" s="80" t="str">
        <x:f>IF(AF18="","",SUM(G18:Z18)*4)</x:f>
      </x:c>
      <x:c r="AH18" s="80" t="str">
        <x:f>IF(AF18="","",SUM(AA18:AE18))</x:f>
      </x:c>
      <x:c r="AI18" s="80" t="str">
        <x:f>IF(AF18="","",AG18+AH18)</x:f>
      </x:c>
      <x:c r="AJ18" s="81" t="str">
        <x:f>IF(AF18="","",AI18/100)</x:f>
      </x:c>
      <x:c r="AK18" s="80" t="str">
        <x:f>IF(COUNTA(A18:AE18)=0,"",IF(AND(COUNTA(G18:Z18)=20,COUNTIF(G18:Z18,0)+COUNTIF(G18:Z18,1)=20,COUNTA(AA18:AE18)=5,MIN(AA18:AE18)&gt;=0,MAX(AA18:AE18)&lt;=4),"OK","확인"))</x:f>
      </x:c>
    </x:row>
    <x:row r="19">
      <x:c r="A19" s="80"/>
      <x:c r="B19" s="80"/>
      <x:c r="C19" s="80"/>
      <x:c r="D19" s="80"/>
      <x:c r="E19" s="80"/>
      <x:c r="F19" s="80"/>
      <x:c r="G19" s="80"/>
      <x:c r="H19" s="80"/>
      <x:c r="I19" s="80"/>
      <x:c r="J19" s="80"/>
      <x:c r="K19" s="80"/>
      <x:c r="L19" s="80"/>
      <x:c r="M19" s="80"/>
      <x:c r="N19" s="80"/>
      <x:c r="O19" s="80"/>
      <x:c r="P19" s="80"/>
      <x:c r="Q19" s="80"/>
      <x:c r="R19" s="80"/>
      <x:c r="S19" s="80"/>
      <x:c r="T19" s="80"/>
      <x:c r="U19" s="80"/>
      <x:c r="V19" s="80"/>
      <x:c r="W19" s="80"/>
      <x:c r="X19" s="80"/>
      <x:c r="Y19" s="80"/>
      <x:c r="Z19" s="80"/>
      <x:c r="AA19" s="80"/>
      <x:c r="AB19" s="80"/>
      <x:c r="AC19" s="80"/>
      <x:c r="AD19" s="80"/>
      <x:c r="AE19" s="80"/>
      <x:c r="AF19" s="80" t="str">
        <x:f>IF(COUNTA(A19:AE19)=0,"",COUNTIF(G19:Z19,1))</x:f>
      </x:c>
      <x:c r="AG19" s="80" t="str">
        <x:f>IF(AF19="","",SUM(G19:Z19)*4)</x:f>
      </x:c>
      <x:c r="AH19" s="80" t="str">
        <x:f>IF(AF19="","",SUM(AA19:AE19))</x:f>
      </x:c>
      <x:c r="AI19" s="80" t="str">
        <x:f>IF(AF19="","",AG19+AH19)</x:f>
      </x:c>
      <x:c r="AJ19" s="81" t="str">
        <x:f>IF(AF19="","",AI19/100)</x:f>
      </x:c>
      <x:c r="AK19" s="80" t="str">
        <x:f>IF(COUNTA(A19:AE19)=0,"",IF(AND(COUNTA(G19:Z19)=20,COUNTIF(G19:Z19,0)+COUNTIF(G19:Z19,1)=20,COUNTA(AA19:AE19)=5,MIN(AA19:AE19)&gt;=0,MAX(AA19:AE19)&lt;=4),"OK","확인"))</x:f>
      </x:c>
    </x:row>
    <x:row r="20">
      <x:c r="A20" s="80"/>
      <x:c r="B20" s="80"/>
      <x:c r="C20" s="80"/>
      <x:c r="D20" s="80"/>
      <x:c r="E20" s="80"/>
      <x:c r="F20" s="80"/>
      <x:c r="G20" s="80"/>
      <x:c r="H20" s="80"/>
      <x:c r="I20" s="80"/>
      <x:c r="J20" s="80"/>
      <x:c r="K20" s="80"/>
      <x:c r="L20" s="80"/>
      <x:c r="M20" s="80"/>
      <x:c r="N20" s="80"/>
      <x:c r="O20" s="80"/>
      <x:c r="P20" s="80"/>
      <x:c r="Q20" s="80"/>
      <x:c r="R20" s="80"/>
      <x:c r="S20" s="80"/>
      <x:c r="T20" s="80"/>
      <x:c r="U20" s="80"/>
      <x:c r="V20" s="80"/>
      <x:c r="W20" s="80"/>
      <x:c r="X20" s="80"/>
      <x:c r="Y20" s="80"/>
      <x:c r="Z20" s="80"/>
      <x:c r="AA20" s="80"/>
      <x:c r="AB20" s="80"/>
      <x:c r="AC20" s="80"/>
      <x:c r="AD20" s="80"/>
      <x:c r="AE20" s="80"/>
      <x:c r="AF20" s="80" t="str">
        <x:f>IF(COUNTA(A20:AE20)=0,"",COUNTIF(G20:Z20,1))</x:f>
      </x:c>
      <x:c r="AG20" s="80" t="str">
        <x:f>IF(AF20="","",SUM(G20:Z20)*4)</x:f>
      </x:c>
      <x:c r="AH20" s="80" t="str">
        <x:f>IF(AF20="","",SUM(AA20:AE20))</x:f>
      </x:c>
      <x:c r="AI20" s="80" t="str">
        <x:f>IF(AF20="","",AG20+AH20)</x:f>
      </x:c>
      <x:c r="AJ20" s="81" t="str">
        <x:f>IF(AF20="","",AI20/100)</x:f>
      </x:c>
      <x:c r="AK20" s="80" t="str">
        <x:f>IF(COUNTA(A20:AE20)=0,"",IF(AND(COUNTA(G20:Z20)=20,COUNTIF(G20:Z20,0)+COUNTIF(G20:Z20,1)=20,COUNTA(AA20:AE20)=5,MIN(AA20:AE20)&gt;=0,MAX(AA20:AE20)&lt;=4),"OK","확인"))</x:f>
      </x:c>
    </x:row>
    <x:row r="21">
      <x:c r="A21" s="80"/>
      <x:c r="B21" s="80"/>
      <x:c r="C21" s="80"/>
      <x:c r="D21" s="80"/>
      <x:c r="E21" s="80"/>
      <x:c r="F21" s="80"/>
      <x:c r="G21" s="80"/>
      <x:c r="H21" s="80"/>
      <x:c r="I21" s="80"/>
      <x:c r="J21" s="80"/>
      <x:c r="K21" s="80"/>
      <x:c r="L21" s="80"/>
      <x:c r="M21" s="80"/>
      <x:c r="N21" s="80"/>
      <x:c r="O21" s="80"/>
      <x:c r="P21" s="80"/>
      <x:c r="Q21" s="80"/>
      <x:c r="R21" s="80"/>
      <x:c r="S21" s="80"/>
      <x:c r="T21" s="80"/>
      <x:c r="U21" s="80"/>
      <x:c r="V21" s="80"/>
      <x:c r="W21" s="80"/>
      <x:c r="X21" s="80"/>
      <x:c r="Y21" s="80"/>
      <x:c r="Z21" s="80"/>
      <x:c r="AA21" s="80"/>
      <x:c r="AB21" s="80"/>
      <x:c r="AC21" s="80"/>
      <x:c r="AD21" s="80"/>
      <x:c r="AE21" s="80"/>
      <x:c r="AF21" s="80" t="str">
        <x:f>IF(COUNTA(A21:AE21)=0,"",COUNTIF(G21:Z21,1))</x:f>
      </x:c>
      <x:c r="AG21" s="80" t="str">
        <x:f>IF(AF21="","",SUM(G21:Z21)*4)</x:f>
      </x:c>
      <x:c r="AH21" s="80" t="str">
        <x:f>IF(AF21="","",SUM(AA21:AE21))</x:f>
      </x:c>
      <x:c r="AI21" s="80" t="str">
        <x:f>IF(AF21="","",AG21+AH21)</x:f>
      </x:c>
      <x:c r="AJ21" s="81" t="str">
        <x:f>IF(AF21="","",AI21/100)</x:f>
      </x:c>
      <x:c r="AK21" s="80" t="str">
        <x:f>IF(COUNTA(A21:AE21)=0,"",IF(AND(COUNTA(G21:Z21)=20,COUNTIF(G21:Z21,0)+COUNTIF(G21:Z21,1)=20,COUNTA(AA21:AE21)=5,MIN(AA21:AE21)&gt;=0,MAX(AA21:AE21)&lt;=4),"OK","확인"))</x:f>
      </x:c>
    </x:row>
    <x:row r="22">
      <x:c r="A22" s="80"/>
      <x:c r="B22" s="80"/>
      <x:c r="C22" s="80"/>
      <x:c r="D22" s="80"/>
      <x:c r="E22" s="80"/>
      <x:c r="F22" s="80"/>
      <x:c r="G22" s="80"/>
      <x:c r="H22" s="80"/>
      <x:c r="I22" s="80"/>
      <x:c r="J22" s="80"/>
      <x:c r="K22" s="80"/>
      <x:c r="L22" s="80"/>
      <x:c r="M22" s="80"/>
      <x:c r="N22" s="80"/>
      <x:c r="O22" s="80"/>
      <x:c r="P22" s="80"/>
      <x:c r="Q22" s="80"/>
      <x:c r="R22" s="80"/>
      <x:c r="S22" s="80"/>
      <x:c r="T22" s="80"/>
      <x:c r="U22" s="80"/>
      <x:c r="V22" s="80"/>
      <x:c r="W22" s="80"/>
      <x:c r="X22" s="80"/>
      <x:c r="Y22" s="80"/>
      <x:c r="Z22" s="80"/>
      <x:c r="AA22" s="80"/>
      <x:c r="AB22" s="80"/>
      <x:c r="AC22" s="80"/>
      <x:c r="AD22" s="80"/>
      <x:c r="AE22" s="80"/>
      <x:c r="AF22" s="80" t="str">
        <x:f>IF(COUNTA(A22:AE22)=0,"",COUNTIF(G22:Z22,1))</x:f>
      </x:c>
      <x:c r="AG22" s="80" t="str">
        <x:f>IF(AF22="","",SUM(G22:Z22)*4)</x:f>
      </x:c>
      <x:c r="AH22" s="80" t="str">
        <x:f>IF(AF22="","",SUM(AA22:AE22))</x:f>
      </x:c>
      <x:c r="AI22" s="80" t="str">
        <x:f>IF(AF22="","",AG22+AH22)</x:f>
      </x:c>
      <x:c r="AJ22" s="81" t="str">
        <x:f>IF(AF22="","",AI22/100)</x:f>
      </x:c>
      <x:c r="AK22" s="80" t="str">
        <x:f>IF(COUNTA(A22:AE22)=0,"",IF(AND(COUNTA(G22:Z22)=20,COUNTIF(G22:Z22,0)+COUNTIF(G22:Z22,1)=20,COUNTA(AA22:AE22)=5,MIN(AA22:AE22)&gt;=0,MAX(AA22:AE22)&lt;=4),"OK","확인"))</x:f>
      </x:c>
    </x:row>
    <x:row r="23">
      <x:c r="A23" s="80"/>
      <x:c r="B23" s="80"/>
      <x:c r="C23" s="80"/>
      <x:c r="D23" s="80"/>
      <x:c r="E23" s="80"/>
      <x:c r="F23" s="80"/>
      <x:c r="G23" s="80"/>
      <x:c r="H23" s="80"/>
      <x:c r="I23" s="80"/>
      <x:c r="J23" s="80"/>
      <x:c r="K23" s="80"/>
      <x:c r="L23" s="80"/>
      <x:c r="M23" s="80"/>
      <x:c r="N23" s="80"/>
      <x:c r="O23" s="80"/>
      <x:c r="P23" s="80"/>
      <x:c r="Q23" s="80"/>
      <x:c r="R23" s="80"/>
      <x:c r="S23" s="80"/>
      <x:c r="T23" s="80"/>
      <x:c r="U23" s="80"/>
      <x:c r="V23" s="80"/>
      <x:c r="W23" s="80"/>
      <x:c r="X23" s="80"/>
      <x:c r="Y23" s="80"/>
      <x:c r="Z23" s="80"/>
      <x:c r="AA23" s="80"/>
      <x:c r="AB23" s="80"/>
      <x:c r="AC23" s="80"/>
      <x:c r="AD23" s="80"/>
      <x:c r="AE23" s="80"/>
      <x:c r="AF23" s="80" t="str">
        <x:f>IF(COUNTA(A23:AE23)=0,"",COUNTIF(G23:Z23,1))</x:f>
      </x:c>
      <x:c r="AG23" s="80" t="str">
        <x:f>IF(AF23="","",SUM(G23:Z23)*4)</x:f>
      </x:c>
      <x:c r="AH23" s="80" t="str">
        <x:f>IF(AF23="","",SUM(AA23:AE23))</x:f>
      </x:c>
      <x:c r="AI23" s="80" t="str">
        <x:f>IF(AF23="","",AG23+AH23)</x:f>
      </x:c>
      <x:c r="AJ23" s="81" t="str">
        <x:f>IF(AF23="","",AI23/100)</x:f>
      </x:c>
      <x:c r="AK23" s="80" t="str">
        <x:f>IF(COUNTA(A23:AE23)=0,"",IF(AND(COUNTA(G23:Z23)=20,COUNTIF(G23:Z23,0)+COUNTIF(G23:Z23,1)=20,COUNTA(AA23:AE23)=5,MIN(AA23:AE23)&gt;=0,MAX(AA23:AE23)&lt;=4),"OK","확인"))</x:f>
      </x:c>
    </x:row>
    <x:row r="24">
      <x:c r="A24" s="80"/>
      <x:c r="B24" s="80"/>
      <x:c r="C24" s="80"/>
      <x:c r="D24" s="80"/>
      <x:c r="E24" s="80"/>
      <x:c r="F24" s="80"/>
      <x:c r="G24" s="80"/>
      <x:c r="H24" s="80"/>
      <x:c r="I24" s="80"/>
      <x:c r="J24" s="80"/>
      <x:c r="K24" s="80"/>
      <x:c r="L24" s="80"/>
      <x:c r="M24" s="80"/>
      <x:c r="N24" s="80"/>
      <x:c r="O24" s="80"/>
      <x:c r="P24" s="80"/>
      <x:c r="Q24" s="80"/>
      <x:c r="R24" s="80"/>
      <x:c r="S24" s="80"/>
      <x:c r="T24" s="80"/>
      <x:c r="U24" s="80"/>
      <x:c r="V24" s="80"/>
      <x:c r="W24" s="80"/>
      <x:c r="X24" s="80"/>
      <x:c r="Y24" s="80"/>
      <x:c r="Z24" s="80"/>
      <x:c r="AA24" s="80"/>
      <x:c r="AB24" s="80"/>
      <x:c r="AC24" s="80"/>
      <x:c r="AD24" s="80"/>
      <x:c r="AE24" s="80"/>
      <x:c r="AF24" s="80" t="str">
        <x:f>IF(COUNTA(A24:AE24)=0,"",COUNTIF(G24:Z24,1))</x:f>
      </x:c>
      <x:c r="AG24" s="80" t="str">
        <x:f>IF(AF24="","",SUM(G24:Z24)*4)</x:f>
      </x:c>
      <x:c r="AH24" s="80" t="str">
        <x:f>IF(AF24="","",SUM(AA24:AE24))</x:f>
      </x:c>
      <x:c r="AI24" s="80" t="str">
        <x:f>IF(AF24="","",AG24+AH24)</x:f>
      </x:c>
      <x:c r="AJ24" s="81" t="str">
        <x:f>IF(AF24="","",AI24/100)</x:f>
      </x:c>
      <x:c r="AK24" s="80" t="str">
        <x:f>IF(COUNTA(A24:AE24)=0,"",IF(AND(COUNTA(G24:Z24)=20,COUNTIF(G24:Z24,0)+COUNTIF(G24:Z24,1)=20,COUNTA(AA24:AE24)=5,MIN(AA24:AE24)&gt;=0,MAX(AA24:AE24)&lt;=4),"OK","확인"))</x:f>
      </x:c>
    </x:row>
    <x:row r="25">
      <x:c r="A25" s="80"/>
      <x:c r="B25" s="80"/>
      <x:c r="C25" s="80"/>
      <x:c r="D25" s="80"/>
      <x:c r="E25" s="80"/>
      <x:c r="F25" s="80"/>
      <x:c r="G25" s="80"/>
      <x:c r="H25" s="80"/>
      <x:c r="I25" s="80"/>
      <x:c r="J25" s="80"/>
      <x:c r="K25" s="80"/>
      <x:c r="L25" s="80"/>
      <x:c r="M25" s="80"/>
      <x:c r="N25" s="80"/>
      <x:c r="O25" s="80"/>
      <x:c r="P25" s="80"/>
      <x:c r="Q25" s="80"/>
      <x:c r="R25" s="80"/>
      <x:c r="S25" s="80"/>
      <x:c r="T25" s="80"/>
      <x:c r="U25" s="80"/>
      <x:c r="V25" s="80"/>
      <x:c r="W25" s="80"/>
      <x:c r="X25" s="80"/>
      <x:c r="Y25" s="80"/>
      <x:c r="Z25" s="80"/>
      <x:c r="AA25" s="80"/>
      <x:c r="AB25" s="80"/>
      <x:c r="AC25" s="80"/>
      <x:c r="AD25" s="80"/>
      <x:c r="AE25" s="80"/>
      <x:c r="AF25" s="80"/>
      <x:c r="AG25" s="80"/>
      <x:c r="AH25" s="80"/>
      <x:c r="AI25" s="80"/>
      <x:c r="AJ25" s="81"/>
      <x:c r="AK25" s="80"/>
    </x:row>
    <x:row r="26">
      <x:c r="A26" s="80"/>
      <x:c r="B26" s="80"/>
      <x:c r="C26" s="80"/>
      <x:c r="D26" s="80"/>
      <x:c r="E26" s="80"/>
      <x:c r="F26" s="80"/>
      <x:c r="G26" s="80"/>
      <x:c r="H26" s="80"/>
      <x:c r="I26" s="80"/>
      <x:c r="J26" s="80"/>
      <x:c r="K26" s="80"/>
      <x:c r="L26" s="80"/>
      <x:c r="M26" s="80"/>
      <x:c r="N26" s="80"/>
      <x:c r="O26" s="80"/>
      <x:c r="P26" s="80"/>
      <x:c r="Q26" s="80"/>
      <x:c r="R26" s="80"/>
      <x:c r="S26" s="80"/>
      <x:c r="T26" s="80"/>
      <x:c r="U26" s="80"/>
      <x:c r="V26" s="80"/>
      <x:c r="W26" s="80"/>
      <x:c r="X26" s="80"/>
      <x:c r="Y26" s="80"/>
      <x:c r="Z26" s="80"/>
      <x:c r="AA26" s="80"/>
      <x:c r="AB26" s="80"/>
      <x:c r="AC26" s="80"/>
      <x:c r="AD26" s="80"/>
      <x:c r="AE26" s="80"/>
      <x:c r="AF26" s="80"/>
      <x:c r="AG26" s="80"/>
      <x:c r="AH26" s="80"/>
      <x:c r="AI26" s="80"/>
      <x:c r="AJ26" s="81"/>
      <x:c r="AK26" s="80"/>
    </x:row>
    <x:row r="27">
      <x:c r="A27" s="80"/>
      <x:c r="B27" s="80"/>
      <x:c r="C27" s="80"/>
      <x:c r="D27" s="80"/>
      <x:c r="E27" s="80"/>
      <x:c r="F27" s="80"/>
      <x:c r="G27" s="80"/>
      <x:c r="H27" s="80"/>
      <x:c r="I27" s="80"/>
      <x:c r="J27" s="80"/>
      <x:c r="K27" s="80"/>
      <x:c r="L27" s="80"/>
      <x:c r="M27" s="80"/>
      <x:c r="N27" s="80"/>
      <x:c r="O27" s="80"/>
      <x:c r="P27" s="80"/>
      <x:c r="Q27" s="80"/>
      <x:c r="R27" s="80"/>
      <x:c r="S27" s="80"/>
      <x:c r="T27" s="80"/>
      <x:c r="U27" s="80"/>
      <x:c r="V27" s="80"/>
      <x:c r="W27" s="80"/>
      <x:c r="X27" s="80"/>
      <x:c r="Y27" s="80"/>
      <x:c r="Z27" s="80"/>
      <x:c r="AA27" s="80"/>
      <x:c r="AB27" s="80"/>
      <x:c r="AC27" s="80"/>
      <x:c r="AD27" s="80"/>
      <x:c r="AE27" s="80"/>
      <x:c r="AF27" s="80"/>
      <x:c r="AG27" s="80"/>
      <x:c r="AH27" s="80"/>
      <x:c r="AI27" s="80"/>
      <x:c r="AJ27" s="81"/>
      <x:c r="AK27" s="80"/>
    </x:row>
    <x:row r="28">
      <x:c r="A28" s="80"/>
      <x:c r="B28" s="80"/>
      <x:c r="C28" s="80"/>
      <x:c r="D28" s="80"/>
      <x:c r="E28" s="80"/>
      <x:c r="F28" s="80"/>
      <x:c r="G28" s="80"/>
      <x:c r="H28" s="80"/>
      <x:c r="I28" s="80"/>
      <x:c r="J28" s="80"/>
      <x:c r="K28" s="80"/>
      <x:c r="L28" s="80"/>
      <x:c r="M28" s="80"/>
      <x:c r="N28" s="80"/>
      <x:c r="O28" s="80"/>
      <x:c r="P28" s="80"/>
      <x:c r="Q28" s="80"/>
      <x:c r="R28" s="80"/>
      <x:c r="S28" s="80"/>
      <x:c r="T28" s="80"/>
      <x:c r="U28" s="80"/>
      <x:c r="V28" s="80"/>
      <x:c r="W28" s="80"/>
      <x:c r="X28" s="80"/>
      <x:c r="Y28" s="80"/>
      <x:c r="Z28" s="80"/>
      <x:c r="AA28" s="80"/>
      <x:c r="AB28" s="80"/>
      <x:c r="AC28" s="80"/>
      <x:c r="AD28" s="80"/>
      <x:c r="AE28" s="80"/>
      <x:c r="AF28" s="80"/>
      <x:c r="AG28" s="80"/>
      <x:c r="AH28" s="80"/>
      <x:c r="AI28" s="80"/>
      <x:c r="AJ28" s="81"/>
      <x:c r="AK28" s="80"/>
    </x:row>
    <x:row r="29">
      <x:c r="A29" s="80"/>
      <x:c r="B29" s="80"/>
      <x:c r="C29" s="80"/>
      <x:c r="D29" s="80"/>
      <x:c r="E29" s="80"/>
      <x:c r="F29" s="80"/>
      <x:c r="G29" s="80"/>
      <x:c r="H29" s="80"/>
      <x:c r="I29" s="80"/>
      <x:c r="J29" s="80"/>
      <x:c r="K29" s="80"/>
      <x:c r="L29" s="80"/>
      <x:c r="M29" s="80"/>
      <x:c r="N29" s="80"/>
      <x:c r="O29" s="80"/>
      <x:c r="P29" s="80"/>
      <x:c r="Q29" s="80"/>
      <x:c r="R29" s="80"/>
      <x:c r="S29" s="80"/>
      <x:c r="T29" s="80"/>
      <x:c r="U29" s="80"/>
      <x:c r="V29" s="80"/>
      <x:c r="W29" s="80"/>
      <x:c r="X29" s="80"/>
      <x:c r="Y29" s="80"/>
      <x:c r="Z29" s="80"/>
      <x:c r="AA29" s="80"/>
      <x:c r="AB29" s="80"/>
      <x:c r="AC29" s="80"/>
      <x:c r="AD29" s="80"/>
      <x:c r="AE29" s="80"/>
      <x:c r="AF29" s="80"/>
      <x:c r="AG29" s="80"/>
      <x:c r="AH29" s="80"/>
      <x:c r="AI29" s="80"/>
      <x:c r="AJ29" s="81"/>
      <x:c r="AK29" s="80"/>
    </x:row>
    <x:row r="30">
      <x:c r="A30" s="80"/>
      <x:c r="B30" s="80"/>
      <x:c r="C30" s="80"/>
      <x:c r="D30" s="80"/>
      <x:c r="E30" s="80"/>
      <x:c r="F30" s="80"/>
      <x:c r="G30" s="80"/>
      <x:c r="H30" s="80"/>
      <x:c r="I30" s="80"/>
      <x:c r="J30" s="80"/>
      <x:c r="K30" s="80"/>
      <x:c r="L30" s="80"/>
      <x:c r="M30" s="80"/>
      <x:c r="N30" s="80"/>
      <x:c r="O30" s="80"/>
      <x:c r="P30" s="80"/>
      <x:c r="Q30" s="80"/>
      <x:c r="R30" s="80"/>
      <x:c r="S30" s="80"/>
      <x:c r="T30" s="80"/>
      <x:c r="U30" s="80"/>
      <x:c r="V30" s="80"/>
      <x:c r="W30" s="80"/>
      <x:c r="X30" s="80"/>
      <x:c r="Y30" s="80"/>
      <x:c r="Z30" s="80"/>
      <x:c r="AA30" s="80"/>
      <x:c r="AB30" s="80"/>
      <x:c r="AC30" s="80"/>
      <x:c r="AD30" s="80"/>
      <x:c r="AE30" s="80"/>
      <x:c r="AF30" s="80"/>
      <x:c r="AG30" s="80"/>
      <x:c r="AH30" s="80"/>
      <x:c r="AI30" s="80"/>
      <x:c r="AJ30" s="81"/>
      <x:c r="AK30" s="80"/>
    </x:row>
    <x:row r="31">
      <x:c r="A31" s="80"/>
      <x:c r="B31" s="80"/>
      <x:c r="C31" s="80"/>
      <x:c r="D31" s="80"/>
      <x:c r="E31" s="80"/>
      <x:c r="F31" s="80"/>
      <x:c r="G31" s="80"/>
      <x:c r="H31" s="80"/>
      <x:c r="I31" s="80"/>
      <x:c r="J31" s="80"/>
      <x:c r="K31" s="80"/>
      <x:c r="L31" s="80"/>
      <x:c r="M31" s="80"/>
      <x:c r="N31" s="80"/>
      <x:c r="O31" s="80"/>
      <x:c r="P31" s="80"/>
      <x:c r="Q31" s="80"/>
      <x:c r="R31" s="80"/>
      <x:c r="S31" s="80"/>
      <x:c r="T31" s="80"/>
      <x:c r="U31" s="80"/>
      <x:c r="V31" s="80"/>
      <x:c r="W31" s="80"/>
      <x:c r="X31" s="80"/>
      <x:c r="Y31" s="80"/>
      <x:c r="Z31" s="80"/>
      <x:c r="AA31" s="80"/>
      <x:c r="AB31" s="80"/>
      <x:c r="AC31" s="80"/>
      <x:c r="AD31" s="80"/>
      <x:c r="AE31" s="80"/>
      <x:c r="AF31" s="80"/>
      <x:c r="AG31" s="80"/>
      <x:c r="AH31" s="80"/>
      <x:c r="AI31" s="80"/>
      <x:c r="AJ31" s="81"/>
      <x:c r="AK31" s="80"/>
    </x:row>
    <x:row r="32">
      <x:c r="A32" s="80"/>
      <x:c r="B32" s="80"/>
      <x:c r="C32" s="80"/>
      <x:c r="D32" s="80"/>
      <x:c r="E32" s="80"/>
      <x:c r="F32" s="80"/>
      <x:c r="G32" s="80"/>
      <x:c r="H32" s="80"/>
      <x:c r="I32" s="80"/>
      <x:c r="J32" s="80"/>
      <x:c r="K32" s="80"/>
      <x:c r="L32" s="80"/>
      <x:c r="M32" s="80"/>
      <x:c r="N32" s="80"/>
      <x:c r="O32" s="80"/>
      <x:c r="P32" s="80"/>
      <x:c r="Q32" s="80"/>
      <x:c r="R32" s="80"/>
      <x:c r="S32" s="80"/>
      <x:c r="T32" s="80"/>
      <x:c r="U32" s="80"/>
      <x:c r="V32" s="80"/>
      <x:c r="W32" s="80"/>
      <x:c r="X32" s="80"/>
      <x:c r="Y32" s="80"/>
      <x:c r="Z32" s="80"/>
      <x:c r="AA32" s="80"/>
      <x:c r="AB32" s="80"/>
      <x:c r="AC32" s="80"/>
      <x:c r="AD32" s="80"/>
      <x:c r="AE32" s="80"/>
      <x:c r="AF32" s="80"/>
      <x:c r="AG32" s="80"/>
      <x:c r="AH32" s="80"/>
      <x:c r="AI32" s="80"/>
      <x:c r="AJ32" s="81"/>
      <x:c r="AK32" s="80"/>
    </x:row>
    <x:row r="33">
      <x:c r="A33" s="80"/>
      <x:c r="B33" s="80"/>
      <x:c r="C33" s="80"/>
      <x:c r="D33" s="80"/>
      <x:c r="E33" s="80"/>
      <x:c r="F33" s="80"/>
      <x:c r="G33" s="80"/>
      <x:c r="H33" s="80"/>
      <x:c r="I33" s="80"/>
      <x:c r="J33" s="80"/>
      <x:c r="K33" s="80"/>
      <x:c r="L33" s="80"/>
      <x:c r="M33" s="80"/>
      <x:c r="N33" s="80"/>
      <x:c r="O33" s="80"/>
      <x:c r="P33" s="80"/>
      <x:c r="Q33" s="80"/>
      <x:c r="R33" s="80"/>
      <x:c r="S33" s="80"/>
      <x:c r="T33" s="80"/>
      <x:c r="U33" s="80"/>
      <x:c r="V33" s="80"/>
      <x:c r="W33" s="80"/>
      <x:c r="X33" s="80"/>
      <x:c r="Y33" s="80"/>
      <x:c r="Z33" s="80"/>
      <x:c r="AA33" s="80"/>
      <x:c r="AB33" s="80"/>
      <x:c r="AC33" s="80"/>
      <x:c r="AD33" s="80"/>
      <x:c r="AE33" s="80"/>
      <x:c r="AF33" s="80"/>
      <x:c r="AG33" s="80"/>
      <x:c r="AH33" s="80"/>
      <x:c r="AI33" s="80"/>
      <x:c r="AJ33" s="81"/>
      <x:c r="AK33" s="80"/>
    </x:row>
    <x:row r="34">
      <x:c r="A34" s="80"/>
      <x:c r="B34" s="80"/>
      <x:c r="C34" s="80"/>
      <x:c r="D34" s="80"/>
      <x:c r="E34" s="80"/>
      <x:c r="F34" s="80"/>
      <x:c r="G34" s="80"/>
      <x:c r="H34" s="80"/>
      <x:c r="I34" s="80"/>
      <x:c r="J34" s="80"/>
      <x:c r="K34" s="80"/>
      <x:c r="L34" s="80"/>
      <x:c r="M34" s="80"/>
      <x:c r="N34" s="80"/>
      <x:c r="O34" s="80"/>
      <x:c r="P34" s="80"/>
      <x:c r="Q34" s="80"/>
      <x:c r="R34" s="80"/>
      <x:c r="S34" s="80"/>
      <x:c r="T34" s="80"/>
      <x:c r="U34" s="80"/>
      <x:c r="V34" s="80"/>
      <x:c r="W34" s="80"/>
      <x:c r="X34" s="80"/>
      <x:c r="Y34" s="80"/>
      <x:c r="Z34" s="80"/>
      <x:c r="AA34" s="80"/>
      <x:c r="AB34" s="80"/>
      <x:c r="AC34" s="80"/>
      <x:c r="AD34" s="80"/>
      <x:c r="AE34" s="80"/>
      <x:c r="AF34" s="80"/>
      <x:c r="AG34" s="80"/>
      <x:c r="AH34" s="80"/>
      <x:c r="AI34" s="80"/>
      <x:c r="AJ34" s="81"/>
      <x:c r="AK34" s="80"/>
    </x:row>
    <x:row r="35">
      <x:c r="A35" s="80"/>
      <x:c r="B35" s="80"/>
      <x:c r="C35" s="80"/>
      <x:c r="D35" s="80"/>
      <x:c r="E35" s="80"/>
      <x:c r="F35" s="80"/>
      <x:c r="G35" s="80"/>
      <x:c r="H35" s="80"/>
      <x:c r="I35" s="80"/>
      <x:c r="J35" s="80"/>
      <x:c r="K35" s="80"/>
      <x:c r="L35" s="80"/>
      <x:c r="M35" s="80"/>
      <x:c r="N35" s="80"/>
      <x:c r="O35" s="80"/>
      <x:c r="P35" s="80"/>
      <x:c r="Q35" s="80"/>
      <x:c r="R35" s="80"/>
      <x:c r="S35" s="80"/>
      <x:c r="T35" s="80"/>
      <x:c r="U35" s="80"/>
      <x:c r="V35" s="80"/>
      <x:c r="W35" s="80"/>
      <x:c r="X35" s="80"/>
      <x:c r="Y35" s="80"/>
      <x:c r="Z35" s="80"/>
      <x:c r="AA35" s="80"/>
      <x:c r="AB35" s="80"/>
      <x:c r="AC35" s="80"/>
      <x:c r="AD35" s="80"/>
      <x:c r="AE35" s="80"/>
      <x:c r="AF35" s="80"/>
      <x:c r="AG35" s="80"/>
      <x:c r="AH35" s="80"/>
      <x:c r="AI35" s="80"/>
      <x:c r="AJ35" s="81"/>
      <x:c r="AK35" s="80"/>
    </x:row>
    <x:row r="36">
      <x:c r="A36" s="80"/>
      <x:c r="B36" s="80"/>
      <x:c r="C36" s="80"/>
      <x:c r="D36" s="80"/>
      <x:c r="E36" s="80"/>
      <x:c r="F36" s="80"/>
      <x:c r="G36" s="80"/>
      <x:c r="H36" s="80"/>
      <x:c r="I36" s="80"/>
      <x:c r="J36" s="80"/>
      <x:c r="K36" s="80"/>
      <x:c r="L36" s="80"/>
      <x:c r="M36" s="80"/>
      <x:c r="N36" s="80"/>
      <x:c r="O36" s="80"/>
      <x:c r="P36" s="80"/>
      <x:c r="Q36" s="80"/>
      <x:c r="R36" s="80"/>
      <x:c r="S36" s="80"/>
      <x:c r="T36" s="80"/>
      <x:c r="U36" s="80"/>
      <x:c r="V36" s="80"/>
      <x:c r="W36" s="80"/>
      <x:c r="X36" s="80"/>
      <x:c r="Y36" s="80"/>
      <x:c r="Z36" s="80"/>
      <x:c r="AA36" s="80"/>
      <x:c r="AB36" s="80"/>
      <x:c r="AC36" s="80"/>
      <x:c r="AD36" s="80"/>
      <x:c r="AE36" s="80"/>
      <x:c r="AF36" s="80"/>
      <x:c r="AG36" s="80"/>
      <x:c r="AH36" s="80"/>
      <x:c r="AI36" s="80"/>
      <x:c r="AJ36" s="81"/>
      <x:c r="AK36" s="80"/>
    </x:row>
    <x:row r="37">
      <x:c r="A37" s="80"/>
      <x:c r="B37" s="80"/>
      <x:c r="C37" s="80"/>
      <x:c r="D37" s="80"/>
      <x:c r="E37" s="80"/>
      <x:c r="F37" s="80"/>
      <x:c r="G37" s="80"/>
      <x:c r="H37" s="80"/>
      <x:c r="I37" s="80"/>
      <x:c r="J37" s="80"/>
      <x:c r="K37" s="80"/>
      <x:c r="L37" s="80"/>
      <x:c r="M37" s="80"/>
      <x:c r="N37" s="80"/>
      <x:c r="O37" s="80"/>
      <x:c r="P37" s="80"/>
      <x:c r="Q37" s="80"/>
      <x:c r="R37" s="80"/>
      <x:c r="S37" s="80"/>
      <x:c r="T37" s="80"/>
      <x:c r="U37" s="80"/>
      <x:c r="V37" s="80"/>
      <x:c r="W37" s="80"/>
      <x:c r="X37" s="80"/>
      <x:c r="Y37" s="80"/>
      <x:c r="Z37" s="80"/>
      <x:c r="AA37" s="80"/>
      <x:c r="AB37" s="80"/>
      <x:c r="AC37" s="80"/>
      <x:c r="AD37" s="80"/>
      <x:c r="AE37" s="80"/>
      <x:c r="AF37" s="80"/>
      <x:c r="AG37" s="80"/>
      <x:c r="AH37" s="80"/>
      <x:c r="AI37" s="80"/>
      <x:c r="AJ37" s="81"/>
      <x:c r="AK37" s="80"/>
    </x:row>
    <x:row r="38">
      <x:c r="A38" s="80"/>
      <x:c r="B38" s="80"/>
      <x:c r="C38" s="80"/>
      <x:c r="D38" s="80"/>
      <x:c r="E38" s="80"/>
      <x:c r="F38" s="80"/>
      <x:c r="G38" s="80"/>
      <x:c r="H38" s="80"/>
      <x:c r="I38" s="80"/>
      <x:c r="J38" s="80"/>
      <x:c r="K38" s="80"/>
      <x:c r="L38" s="80"/>
      <x:c r="M38" s="80"/>
      <x:c r="N38" s="80"/>
      <x:c r="O38" s="80"/>
      <x:c r="P38" s="80"/>
      <x:c r="Q38" s="80"/>
      <x:c r="R38" s="80"/>
      <x:c r="S38" s="80"/>
      <x:c r="T38" s="80"/>
      <x:c r="U38" s="80"/>
      <x:c r="V38" s="80"/>
      <x:c r="W38" s="80"/>
      <x:c r="X38" s="80"/>
      <x:c r="Y38" s="80"/>
      <x:c r="Z38" s="80"/>
      <x:c r="AA38" s="80"/>
      <x:c r="AB38" s="80"/>
      <x:c r="AC38" s="80"/>
      <x:c r="AD38" s="80"/>
      <x:c r="AE38" s="80"/>
      <x:c r="AF38" s="80"/>
      <x:c r="AG38" s="80"/>
      <x:c r="AH38" s="80"/>
      <x:c r="AI38" s="80"/>
      <x:c r="AJ38" s="81"/>
      <x:c r="AK38" s="80"/>
    </x:row>
    <x:row r="39">
      <x:c r="A39" s="80"/>
      <x:c r="B39" s="80"/>
      <x:c r="C39" s="80"/>
      <x:c r="D39" s="80"/>
      <x:c r="E39" s="80"/>
      <x:c r="F39" s="80"/>
      <x:c r="G39" s="80"/>
      <x:c r="H39" s="80"/>
      <x:c r="I39" s="80"/>
      <x:c r="J39" s="80"/>
      <x:c r="K39" s="80"/>
      <x:c r="L39" s="80"/>
      <x:c r="M39" s="80"/>
      <x:c r="N39" s="80"/>
      <x:c r="O39" s="80"/>
      <x:c r="P39" s="80"/>
      <x:c r="Q39" s="80"/>
      <x:c r="R39" s="80"/>
      <x:c r="S39" s="80"/>
      <x:c r="T39" s="80"/>
      <x:c r="U39" s="80"/>
      <x:c r="V39" s="80"/>
      <x:c r="W39" s="80"/>
      <x:c r="X39" s="80"/>
      <x:c r="Y39" s="80"/>
      <x:c r="Z39" s="80"/>
      <x:c r="AA39" s="80"/>
      <x:c r="AB39" s="80"/>
      <x:c r="AC39" s="80"/>
      <x:c r="AD39" s="80"/>
      <x:c r="AE39" s="80"/>
      <x:c r="AF39" s="80"/>
      <x:c r="AG39" s="80"/>
      <x:c r="AH39" s="80"/>
      <x:c r="AI39" s="80"/>
      <x:c r="AJ39" s="81"/>
      <x:c r="AK39" s="80"/>
    </x:row>
    <x:row r="40">
      <x:c r="A40" s="80"/>
      <x:c r="B40" s="80"/>
      <x:c r="C40" s="80"/>
      <x:c r="D40" s="80"/>
      <x:c r="E40" s="80"/>
      <x:c r="F40" s="80"/>
      <x:c r="G40" s="80"/>
      <x:c r="H40" s="80"/>
      <x:c r="I40" s="80"/>
      <x:c r="J40" s="80"/>
      <x:c r="K40" s="80"/>
      <x:c r="L40" s="80"/>
      <x:c r="M40" s="80"/>
      <x:c r="N40" s="80"/>
      <x:c r="O40" s="80"/>
      <x:c r="P40" s="80"/>
      <x:c r="Q40" s="80"/>
      <x:c r="R40" s="80"/>
      <x:c r="S40" s="80"/>
      <x:c r="T40" s="80"/>
      <x:c r="U40" s="80"/>
      <x:c r="V40" s="80"/>
      <x:c r="W40" s="80"/>
      <x:c r="X40" s="80"/>
      <x:c r="Y40" s="80"/>
      <x:c r="Z40" s="80"/>
      <x:c r="AA40" s="80"/>
      <x:c r="AB40" s="80"/>
      <x:c r="AC40" s="80"/>
      <x:c r="AD40" s="80"/>
      <x:c r="AE40" s="80"/>
      <x:c r="AF40" s="80"/>
      <x:c r="AG40" s="80"/>
      <x:c r="AH40" s="80"/>
      <x:c r="AI40" s="80"/>
      <x:c r="AJ40" s="81"/>
      <x:c r="AK40" s="80"/>
    </x:row>
    <x:row r="41">
      <x:c r="A41" s="80"/>
      <x:c r="B41" s="80"/>
      <x:c r="C41" s="80"/>
      <x:c r="D41" s="80"/>
      <x:c r="E41" s="80"/>
      <x:c r="F41" s="80"/>
      <x:c r="G41" s="80"/>
      <x:c r="H41" s="80"/>
      <x:c r="I41" s="80"/>
      <x:c r="J41" s="80"/>
      <x:c r="K41" s="80"/>
      <x:c r="L41" s="80"/>
      <x:c r="M41" s="80"/>
      <x:c r="N41" s="80"/>
      <x:c r="O41" s="80"/>
      <x:c r="P41" s="80"/>
      <x:c r="Q41" s="80"/>
      <x:c r="R41" s="80"/>
      <x:c r="S41" s="80"/>
      <x:c r="T41" s="80"/>
      <x:c r="U41" s="80"/>
      <x:c r="V41" s="80"/>
      <x:c r="W41" s="80"/>
      <x:c r="X41" s="80"/>
      <x:c r="Y41" s="80"/>
      <x:c r="Z41" s="80"/>
      <x:c r="AA41" s="80"/>
      <x:c r="AB41" s="80"/>
      <x:c r="AC41" s="80"/>
      <x:c r="AD41" s="80"/>
      <x:c r="AE41" s="80"/>
      <x:c r="AF41" s="80"/>
      <x:c r="AG41" s="80"/>
      <x:c r="AH41" s="80"/>
      <x:c r="AI41" s="80"/>
      <x:c r="AJ41" s="81"/>
      <x:c r="AK41" s="80"/>
    </x:row>
    <x:row r="42">
      <x:c r="A42" s="80"/>
      <x:c r="B42" s="80"/>
      <x:c r="C42" s="80"/>
      <x:c r="D42" s="80"/>
      <x:c r="E42" s="80"/>
      <x:c r="F42" s="80"/>
      <x:c r="G42" s="80"/>
      <x:c r="H42" s="80"/>
      <x:c r="I42" s="80"/>
      <x:c r="J42" s="80"/>
      <x:c r="K42" s="80"/>
      <x:c r="L42" s="80"/>
      <x:c r="M42" s="80"/>
      <x:c r="N42" s="80"/>
      <x:c r="O42" s="80"/>
      <x:c r="P42" s="80"/>
      <x:c r="Q42" s="80"/>
      <x:c r="R42" s="80"/>
      <x:c r="S42" s="80"/>
      <x:c r="T42" s="80"/>
      <x:c r="U42" s="80"/>
      <x:c r="V42" s="80"/>
      <x:c r="W42" s="80"/>
      <x:c r="X42" s="80"/>
      <x:c r="Y42" s="80"/>
      <x:c r="Z42" s="80"/>
      <x:c r="AA42" s="80"/>
      <x:c r="AB42" s="80"/>
      <x:c r="AC42" s="80"/>
      <x:c r="AD42" s="80"/>
      <x:c r="AE42" s="80"/>
      <x:c r="AF42" s="80"/>
      <x:c r="AG42" s="80"/>
      <x:c r="AH42" s="80"/>
      <x:c r="AI42" s="80"/>
      <x:c r="AJ42" s="81"/>
      <x:c r="AK42" s="80"/>
    </x:row>
    <x:row r="43">
      <x:c r="A43" s="80"/>
      <x:c r="B43" s="80"/>
      <x:c r="C43" s="80"/>
      <x:c r="D43" s="80"/>
      <x:c r="E43" s="80"/>
      <x:c r="F43" s="80"/>
      <x:c r="G43" s="80"/>
      <x:c r="H43" s="80"/>
      <x:c r="I43" s="80"/>
      <x:c r="J43" s="80"/>
      <x:c r="K43" s="80"/>
      <x:c r="L43" s="80"/>
      <x:c r="M43" s="80"/>
      <x:c r="N43" s="80"/>
      <x:c r="O43" s="80"/>
      <x:c r="P43" s="80"/>
      <x:c r="Q43" s="80"/>
      <x:c r="R43" s="80"/>
      <x:c r="S43" s="80"/>
      <x:c r="T43" s="80"/>
      <x:c r="U43" s="80"/>
      <x:c r="V43" s="80"/>
      <x:c r="W43" s="80"/>
      <x:c r="X43" s="80"/>
      <x:c r="Y43" s="80"/>
      <x:c r="Z43" s="80"/>
      <x:c r="AA43" s="80"/>
      <x:c r="AB43" s="80"/>
      <x:c r="AC43" s="80"/>
      <x:c r="AD43" s="80"/>
      <x:c r="AE43" s="80"/>
      <x:c r="AF43" s="80"/>
      <x:c r="AG43" s="80"/>
      <x:c r="AH43" s="80"/>
      <x:c r="AI43" s="80"/>
      <x:c r="AJ43" s="81"/>
      <x:c r="AK43" s="80"/>
    </x:row>
    <x:row r="44">
      <x:c r="A44" s="80"/>
      <x:c r="B44" s="80"/>
      <x:c r="C44" s="80"/>
      <x:c r="D44" s="80"/>
      <x:c r="E44" s="80"/>
      <x:c r="F44" s="80"/>
      <x:c r="G44" s="80"/>
      <x:c r="H44" s="80"/>
      <x:c r="I44" s="80"/>
      <x:c r="J44" s="80"/>
      <x:c r="K44" s="80"/>
      <x:c r="L44" s="80"/>
      <x:c r="M44" s="80"/>
      <x:c r="N44" s="80"/>
      <x:c r="O44" s="80"/>
      <x:c r="P44" s="80"/>
      <x:c r="Q44" s="80"/>
      <x:c r="R44" s="80"/>
      <x:c r="S44" s="80"/>
      <x:c r="T44" s="80"/>
      <x:c r="U44" s="80"/>
      <x:c r="V44" s="80"/>
      <x:c r="W44" s="80"/>
      <x:c r="X44" s="80"/>
      <x:c r="Y44" s="80"/>
      <x:c r="Z44" s="80"/>
      <x:c r="AA44" s="80"/>
      <x:c r="AB44" s="80"/>
      <x:c r="AC44" s="80"/>
      <x:c r="AD44" s="80"/>
      <x:c r="AE44" s="80"/>
      <x:c r="AF44" s="80"/>
      <x:c r="AG44" s="80"/>
      <x:c r="AH44" s="80"/>
      <x:c r="AI44" s="80"/>
      <x:c r="AJ44" s="81"/>
      <x:c r="AK44" s="80"/>
    </x:row>
    <x:row r="45">
      <x:c r="A45" s="80"/>
      <x:c r="B45" s="80"/>
      <x:c r="C45" s="80"/>
      <x:c r="D45" s="80"/>
      <x:c r="E45" s="80"/>
      <x:c r="F45" s="80"/>
      <x:c r="G45" s="80"/>
      <x:c r="H45" s="80"/>
      <x:c r="I45" s="80"/>
      <x:c r="J45" s="80"/>
      <x:c r="K45" s="80"/>
      <x:c r="L45" s="80"/>
      <x:c r="M45" s="80"/>
      <x:c r="N45" s="80"/>
      <x:c r="O45" s="80"/>
      <x:c r="P45" s="80"/>
      <x:c r="Q45" s="80"/>
      <x:c r="R45" s="80"/>
      <x:c r="S45" s="80"/>
      <x:c r="T45" s="80"/>
      <x:c r="U45" s="80"/>
      <x:c r="V45" s="80"/>
      <x:c r="W45" s="80"/>
      <x:c r="X45" s="80"/>
      <x:c r="Y45" s="80"/>
      <x:c r="Z45" s="80"/>
      <x:c r="AA45" s="80"/>
      <x:c r="AB45" s="80"/>
      <x:c r="AC45" s="80"/>
      <x:c r="AD45" s="80"/>
      <x:c r="AE45" s="80"/>
      <x:c r="AF45" s="80"/>
      <x:c r="AG45" s="80"/>
      <x:c r="AH45" s="80"/>
      <x:c r="AI45" s="80"/>
      <x:c r="AJ45" s="81"/>
      <x:c r="AK45" s="80"/>
    </x:row>
    <x:row r="46">
      <x:c r="A46" s="80"/>
      <x:c r="B46" s="80"/>
      <x:c r="C46" s="80"/>
      <x:c r="D46" s="80"/>
      <x:c r="E46" s="80"/>
      <x:c r="F46" s="80"/>
      <x:c r="G46" s="80"/>
      <x:c r="H46" s="80"/>
      <x:c r="I46" s="80"/>
      <x:c r="J46" s="80"/>
      <x:c r="K46" s="80"/>
      <x:c r="L46" s="80"/>
      <x:c r="M46" s="80"/>
      <x:c r="N46" s="80"/>
      <x:c r="O46" s="80"/>
      <x:c r="P46" s="80"/>
      <x:c r="Q46" s="80"/>
      <x:c r="R46" s="80"/>
      <x:c r="S46" s="80"/>
      <x:c r="T46" s="80"/>
      <x:c r="U46" s="80"/>
      <x:c r="V46" s="80"/>
      <x:c r="W46" s="80"/>
      <x:c r="X46" s="80"/>
      <x:c r="Y46" s="80"/>
      <x:c r="Z46" s="80"/>
      <x:c r="AA46" s="80"/>
      <x:c r="AB46" s="80"/>
      <x:c r="AC46" s="80"/>
      <x:c r="AD46" s="80"/>
      <x:c r="AE46" s="80"/>
      <x:c r="AF46" s="80"/>
      <x:c r="AG46" s="80"/>
      <x:c r="AH46" s="80"/>
      <x:c r="AI46" s="80"/>
      <x:c r="AJ46" s="81"/>
      <x:c r="AK46" s="80"/>
    </x:row>
    <x:row r="47">
      <x:c r="A47" s="80"/>
      <x:c r="B47" s="80"/>
      <x:c r="C47" s="80"/>
      <x:c r="D47" s="80"/>
      <x:c r="E47" s="80"/>
      <x:c r="F47" s="80"/>
      <x:c r="G47" s="80"/>
      <x:c r="H47" s="80"/>
      <x:c r="I47" s="80"/>
      <x:c r="J47" s="80"/>
      <x:c r="K47" s="80"/>
      <x:c r="L47" s="80"/>
      <x:c r="M47" s="80"/>
      <x:c r="N47" s="80"/>
      <x:c r="O47" s="80"/>
      <x:c r="P47" s="80"/>
      <x:c r="Q47" s="80"/>
      <x:c r="R47" s="80"/>
      <x:c r="S47" s="80"/>
      <x:c r="T47" s="80"/>
      <x:c r="U47" s="80"/>
      <x:c r="V47" s="80"/>
      <x:c r="W47" s="80"/>
      <x:c r="X47" s="80"/>
      <x:c r="Y47" s="80"/>
      <x:c r="Z47" s="80"/>
      <x:c r="AA47" s="80"/>
      <x:c r="AB47" s="80"/>
      <x:c r="AC47" s="80"/>
      <x:c r="AD47" s="80"/>
      <x:c r="AE47" s="80"/>
      <x:c r="AF47" s="80"/>
      <x:c r="AG47" s="80"/>
      <x:c r="AH47" s="80"/>
      <x:c r="AI47" s="80"/>
      <x:c r="AJ47" s="81"/>
      <x:c r="AK47" s="80"/>
    </x:row>
    <x:row r="48">
      <x:c r="A48" s="80"/>
      <x:c r="B48" s="80"/>
      <x:c r="C48" s="80"/>
      <x:c r="D48" s="80"/>
      <x:c r="E48" s="80"/>
      <x:c r="F48" s="80"/>
      <x:c r="G48" s="80"/>
      <x:c r="H48" s="80"/>
      <x:c r="I48" s="80"/>
      <x:c r="J48" s="80"/>
      <x:c r="K48" s="80"/>
      <x:c r="L48" s="80"/>
      <x:c r="M48" s="80"/>
      <x:c r="N48" s="80"/>
      <x:c r="O48" s="80"/>
      <x:c r="P48" s="80"/>
      <x:c r="Q48" s="80"/>
      <x:c r="R48" s="80"/>
      <x:c r="S48" s="80"/>
      <x:c r="T48" s="80"/>
      <x:c r="U48" s="80"/>
      <x:c r="V48" s="80"/>
      <x:c r="W48" s="80"/>
      <x:c r="X48" s="80"/>
      <x:c r="Y48" s="80"/>
      <x:c r="Z48" s="80"/>
      <x:c r="AA48" s="80"/>
      <x:c r="AB48" s="80"/>
      <x:c r="AC48" s="80"/>
      <x:c r="AD48" s="80"/>
      <x:c r="AE48" s="80"/>
      <x:c r="AF48" s="80"/>
      <x:c r="AG48" s="80"/>
      <x:c r="AH48" s="80"/>
      <x:c r="AI48" s="80"/>
      <x:c r="AJ48" s="81"/>
      <x:c r="AK48" s="80"/>
    </x:row>
    <x:row r="49">
      <x:c r="A49" s="80"/>
      <x:c r="B49" s="80"/>
      <x:c r="C49" s="80"/>
      <x:c r="D49" s="80"/>
      <x:c r="E49" s="80"/>
      <x:c r="F49" s="80"/>
      <x:c r="G49" s="80"/>
      <x:c r="H49" s="80"/>
      <x:c r="I49" s="80"/>
      <x:c r="J49" s="80"/>
      <x:c r="K49" s="80"/>
      <x:c r="L49" s="80"/>
      <x:c r="M49" s="80"/>
      <x:c r="N49" s="80"/>
      <x:c r="O49" s="80"/>
      <x:c r="P49" s="80"/>
      <x:c r="Q49" s="80"/>
      <x:c r="R49" s="80"/>
      <x:c r="S49" s="80"/>
      <x:c r="T49" s="80"/>
      <x:c r="U49" s="80"/>
      <x:c r="V49" s="80"/>
      <x:c r="W49" s="80"/>
      <x:c r="X49" s="80"/>
      <x:c r="Y49" s="80"/>
      <x:c r="Z49" s="80"/>
      <x:c r="AA49" s="80"/>
      <x:c r="AB49" s="80"/>
      <x:c r="AC49" s="80"/>
      <x:c r="AD49" s="80"/>
      <x:c r="AE49" s="80"/>
      <x:c r="AF49" s="80"/>
      <x:c r="AG49" s="80"/>
      <x:c r="AH49" s="80"/>
      <x:c r="AI49" s="80"/>
      <x:c r="AJ49" s="81"/>
      <x:c r="AK49" s="80"/>
    </x:row>
    <x:row r="50">
      <x:c r="A50" s="80"/>
      <x:c r="B50" s="80"/>
      <x:c r="C50" s="80"/>
      <x:c r="D50" s="80"/>
      <x:c r="E50" s="80"/>
      <x:c r="F50" s="80"/>
      <x:c r="G50" s="80"/>
      <x:c r="H50" s="80"/>
      <x:c r="I50" s="80"/>
      <x:c r="J50" s="80"/>
      <x:c r="K50" s="80"/>
      <x:c r="L50" s="80"/>
      <x:c r="M50" s="80"/>
      <x:c r="N50" s="80"/>
      <x:c r="O50" s="80"/>
      <x:c r="P50" s="80"/>
      <x:c r="Q50" s="80"/>
      <x:c r="R50" s="80"/>
      <x:c r="S50" s="80"/>
      <x:c r="T50" s="80"/>
      <x:c r="U50" s="80"/>
      <x:c r="V50" s="80"/>
      <x:c r="W50" s="80"/>
      <x:c r="X50" s="80"/>
      <x:c r="Y50" s="80"/>
      <x:c r="Z50" s="80"/>
      <x:c r="AA50" s="80"/>
      <x:c r="AB50" s="80"/>
      <x:c r="AC50" s="80"/>
      <x:c r="AD50" s="80"/>
      <x:c r="AE50" s="80"/>
      <x:c r="AF50" s="80"/>
      <x:c r="AG50" s="80"/>
      <x:c r="AH50" s="80"/>
      <x:c r="AI50" s="80"/>
      <x:c r="AJ50" s="81"/>
      <x:c r="AK50" s="80"/>
    </x:row>
    <x:row r="51">
      <x:c r="A51" s="80"/>
      <x:c r="B51" s="80"/>
      <x:c r="C51" s="80"/>
      <x:c r="D51" s="80"/>
      <x:c r="E51" s="80"/>
      <x:c r="F51" s="80"/>
      <x:c r="G51" s="80"/>
      <x:c r="H51" s="80"/>
      <x:c r="I51" s="80"/>
      <x:c r="J51" s="80"/>
      <x:c r="K51" s="80"/>
      <x:c r="L51" s="80"/>
      <x:c r="M51" s="80"/>
      <x:c r="N51" s="80"/>
      <x:c r="O51" s="80"/>
      <x:c r="P51" s="80"/>
      <x:c r="Q51" s="80"/>
      <x:c r="R51" s="80"/>
      <x:c r="S51" s="80"/>
      <x:c r="T51" s="80"/>
      <x:c r="U51" s="80"/>
      <x:c r="V51" s="80"/>
      <x:c r="W51" s="80"/>
      <x:c r="X51" s="80"/>
      <x:c r="Y51" s="80"/>
      <x:c r="Z51" s="80"/>
      <x:c r="AA51" s="80"/>
      <x:c r="AB51" s="80"/>
      <x:c r="AC51" s="80"/>
      <x:c r="AD51" s="80"/>
      <x:c r="AE51" s="80"/>
      <x:c r="AF51" s="80"/>
      <x:c r="AG51" s="80"/>
      <x:c r="AH51" s="80"/>
      <x:c r="AI51" s="80"/>
      <x:c r="AJ51" s="81"/>
      <x:c r="AK51" s="80"/>
    </x:row>
    <x:row r="52">
      <x:c r="A52" s="80"/>
      <x:c r="B52" s="80"/>
      <x:c r="C52" s="80"/>
      <x:c r="D52" s="80"/>
      <x:c r="E52" s="80"/>
      <x:c r="F52" s="80"/>
      <x:c r="G52" s="80"/>
      <x:c r="H52" s="80"/>
      <x:c r="I52" s="80"/>
      <x:c r="J52" s="80"/>
      <x:c r="K52" s="80"/>
      <x:c r="L52" s="80"/>
      <x:c r="M52" s="80"/>
      <x:c r="N52" s="80"/>
      <x:c r="O52" s="80"/>
      <x:c r="P52" s="80"/>
      <x:c r="Q52" s="80"/>
      <x:c r="R52" s="80"/>
      <x:c r="S52" s="80"/>
      <x:c r="T52" s="80"/>
      <x:c r="U52" s="80"/>
      <x:c r="V52" s="80"/>
      <x:c r="W52" s="80"/>
      <x:c r="X52" s="80"/>
      <x:c r="Y52" s="80"/>
      <x:c r="Z52" s="80"/>
      <x:c r="AA52" s="80"/>
      <x:c r="AB52" s="80"/>
      <x:c r="AC52" s="80"/>
      <x:c r="AD52" s="80"/>
      <x:c r="AE52" s="80"/>
      <x:c r="AF52" s="80"/>
      <x:c r="AG52" s="80"/>
      <x:c r="AH52" s="80"/>
      <x:c r="AI52" s="80"/>
      <x:c r="AJ52" s="81"/>
      <x:c r="AK52" s="80"/>
    </x:row>
    <x:row r="53">
      <x:c r="A53" s="80"/>
      <x:c r="B53" s="80"/>
      <x:c r="C53" s="80"/>
      <x:c r="D53" s="80"/>
      <x:c r="E53" s="80"/>
      <x:c r="F53" s="80"/>
      <x:c r="G53" s="80"/>
      <x:c r="H53" s="80"/>
      <x:c r="I53" s="80"/>
      <x:c r="J53" s="80"/>
      <x:c r="K53" s="80"/>
      <x:c r="L53" s="80"/>
      <x:c r="M53" s="80"/>
      <x:c r="N53" s="80"/>
      <x:c r="O53" s="80"/>
      <x:c r="P53" s="80"/>
      <x:c r="Q53" s="80"/>
      <x:c r="R53" s="80"/>
      <x:c r="S53" s="80"/>
      <x:c r="T53" s="80"/>
      <x:c r="U53" s="80"/>
      <x:c r="V53" s="80"/>
      <x:c r="W53" s="80"/>
      <x:c r="X53" s="80"/>
      <x:c r="Y53" s="80"/>
      <x:c r="Z53" s="80"/>
      <x:c r="AA53" s="80"/>
      <x:c r="AB53" s="80"/>
      <x:c r="AC53" s="80"/>
      <x:c r="AD53" s="80"/>
      <x:c r="AE53" s="80"/>
      <x:c r="AF53" s="80"/>
      <x:c r="AG53" s="80"/>
      <x:c r="AH53" s="80"/>
      <x:c r="AI53" s="80"/>
      <x:c r="AJ53" s="81"/>
      <x:c r="AK53" s="80"/>
    </x:row>
    <x:row r="54">
      <x:c r="A54" s="80"/>
      <x:c r="B54" s="80"/>
      <x:c r="C54" s="80"/>
      <x:c r="D54" s="80"/>
      <x:c r="E54" s="80"/>
      <x:c r="F54" s="80"/>
      <x:c r="G54" s="80"/>
      <x:c r="H54" s="80"/>
      <x:c r="I54" s="80"/>
      <x:c r="J54" s="80"/>
      <x:c r="K54" s="80"/>
      <x:c r="L54" s="80"/>
      <x:c r="M54" s="80"/>
      <x:c r="N54" s="80"/>
      <x:c r="O54" s="80"/>
      <x:c r="P54" s="80"/>
      <x:c r="Q54" s="80"/>
      <x:c r="R54" s="80"/>
      <x:c r="S54" s="80"/>
      <x:c r="T54" s="80"/>
      <x:c r="U54" s="80"/>
      <x:c r="V54" s="80"/>
      <x:c r="W54" s="80"/>
      <x:c r="X54" s="80"/>
      <x:c r="Y54" s="80"/>
      <x:c r="Z54" s="80"/>
      <x:c r="AA54" s="80"/>
      <x:c r="AB54" s="80"/>
      <x:c r="AC54" s="80"/>
      <x:c r="AD54" s="80"/>
      <x:c r="AE54" s="80"/>
      <x:c r="AF54" s="80"/>
      <x:c r="AG54" s="80"/>
      <x:c r="AH54" s="80"/>
      <x:c r="AI54" s="80"/>
      <x:c r="AJ54" s="81"/>
      <x:c r="AK54" s="80"/>
    </x:row>
    <x:row r="55">
      <x:c r="A55" s="80"/>
      <x:c r="B55" s="80"/>
      <x:c r="C55" s="80"/>
      <x:c r="D55" s="80"/>
      <x:c r="E55" s="80"/>
      <x:c r="F55" s="80"/>
      <x:c r="G55" s="80"/>
      <x:c r="H55" s="80"/>
      <x:c r="I55" s="80"/>
      <x:c r="J55" s="80"/>
      <x:c r="K55" s="80"/>
      <x:c r="L55" s="80"/>
      <x:c r="M55" s="80"/>
      <x:c r="N55" s="80"/>
      <x:c r="O55" s="80"/>
      <x:c r="P55" s="80"/>
      <x:c r="Q55" s="80"/>
      <x:c r="R55" s="80"/>
      <x:c r="S55" s="80"/>
      <x:c r="T55" s="80"/>
      <x:c r="U55" s="80"/>
      <x:c r="V55" s="80"/>
      <x:c r="W55" s="80"/>
      <x:c r="X55" s="80"/>
      <x:c r="Y55" s="80"/>
      <x:c r="Z55" s="80"/>
      <x:c r="AA55" s="80"/>
      <x:c r="AB55" s="80"/>
      <x:c r="AC55" s="80"/>
      <x:c r="AD55" s="80"/>
      <x:c r="AE55" s="80"/>
      <x:c r="AF55" s="80"/>
      <x:c r="AG55" s="80"/>
      <x:c r="AH55" s="80"/>
      <x:c r="AI55" s="80"/>
      <x:c r="AJ55" s="81"/>
      <x:c r="AK55" s="80"/>
    </x:row>
    <x:row r="56">
      <x:c r="A56" s="80"/>
      <x:c r="B56" s="80"/>
      <x:c r="C56" s="80"/>
      <x:c r="D56" s="80"/>
      <x:c r="E56" s="80"/>
      <x:c r="F56" s="80"/>
      <x:c r="G56" s="80"/>
      <x:c r="H56" s="80"/>
      <x:c r="I56" s="80"/>
      <x:c r="J56" s="80"/>
      <x:c r="K56" s="80"/>
      <x:c r="L56" s="80"/>
      <x:c r="M56" s="80"/>
      <x:c r="N56" s="80"/>
      <x:c r="O56" s="80"/>
      <x:c r="P56" s="80"/>
      <x:c r="Q56" s="80"/>
      <x:c r="R56" s="80"/>
      <x:c r="S56" s="80"/>
      <x:c r="T56" s="80"/>
      <x:c r="U56" s="80"/>
      <x:c r="V56" s="80"/>
      <x:c r="W56" s="80"/>
      <x:c r="X56" s="80"/>
      <x:c r="Y56" s="80"/>
      <x:c r="Z56" s="80"/>
      <x:c r="AA56" s="80"/>
      <x:c r="AB56" s="80"/>
      <x:c r="AC56" s="80"/>
      <x:c r="AD56" s="80"/>
      <x:c r="AE56" s="80"/>
      <x:c r="AF56" s="80"/>
      <x:c r="AG56" s="80"/>
      <x:c r="AH56" s="80"/>
      <x:c r="AI56" s="80"/>
      <x:c r="AJ56" s="81"/>
      <x:c r="AK56" s="80"/>
    </x:row>
    <x:row r="57">
      <x:c r="A57" s="80"/>
      <x:c r="B57" s="80"/>
      <x:c r="C57" s="80"/>
      <x:c r="D57" s="80"/>
      <x:c r="E57" s="80"/>
      <x:c r="F57" s="80"/>
      <x:c r="G57" s="80"/>
      <x:c r="H57" s="80"/>
      <x:c r="I57" s="80"/>
      <x:c r="J57" s="80"/>
      <x:c r="K57" s="80"/>
      <x:c r="L57" s="80"/>
      <x:c r="M57" s="80"/>
      <x:c r="N57" s="80"/>
      <x:c r="O57" s="80"/>
      <x:c r="P57" s="80"/>
      <x:c r="Q57" s="80"/>
      <x:c r="R57" s="80"/>
      <x:c r="S57" s="80"/>
      <x:c r="T57" s="80"/>
      <x:c r="U57" s="80"/>
      <x:c r="V57" s="80"/>
      <x:c r="W57" s="80"/>
      <x:c r="X57" s="80"/>
      <x:c r="Y57" s="80"/>
      <x:c r="Z57" s="80"/>
      <x:c r="AA57" s="80"/>
      <x:c r="AB57" s="80"/>
      <x:c r="AC57" s="80"/>
      <x:c r="AD57" s="80"/>
      <x:c r="AE57" s="80"/>
      <x:c r="AF57" s="80"/>
      <x:c r="AG57" s="80"/>
      <x:c r="AH57" s="80"/>
      <x:c r="AI57" s="80"/>
      <x:c r="AJ57" s="81"/>
      <x:c r="AK57" s="80"/>
    </x:row>
    <x:row r="58">
      <x:c r="A58" s="80"/>
      <x:c r="B58" s="80"/>
      <x:c r="C58" s="80"/>
      <x:c r="D58" s="80"/>
      <x:c r="E58" s="80"/>
      <x:c r="F58" s="80"/>
      <x:c r="G58" s="80"/>
      <x:c r="H58" s="80"/>
      <x:c r="I58" s="80"/>
      <x:c r="J58" s="80"/>
      <x:c r="K58" s="80"/>
      <x:c r="L58" s="80"/>
      <x:c r="M58" s="80"/>
      <x:c r="N58" s="80"/>
      <x:c r="O58" s="80"/>
      <x:c r="P58" s="80"/>
      <x:c r="Q58" s="80"/>
      <x:c r="R58" s="80"/>
      <x:c r="S58" s="80"/>
      <x:c r="T58" s="80"/>
      <x:c r="U58" s="80"/>
      <x:c r="V58" s="80"/>
      <x:c r="W58" s="80"/>
      <x:c r="X58" s="80"/>
      <x:c r="Y58" s="80"/>
      <x:c r="Z58" s="80"/>
      <x:c r="AA58" s="80"/>
      <x:c r="AB58" s="80"/>
      <x:c r="AC58" s="80"/>
      <x:c r="AD58" s="80"/>
      <x:c r="AE58" s="80"/>
      <x:c r="AF58" s="80"/>
      <x:c r="AG58" s="80"/>
      <x:c r="AH58" s="80"/>
      <x:c r="AI58" s="80"/>
      <x:c r="AJ58" s="81"/>
      <x:c r="AK58" s="80"/>
    </x:row>
    <x:row r="59">
      <x:c r="A59" s="80"/>
      <x:c r="B59" s="80"/>
      <x:c r="C59" s="80"/>
      <x:c r="D59" s="80"/>
      <x:c r="E59" s="80"/>
      <x:c r="F59" s="80"/>
      <x:c r="G59" s="80"/>
      <x:c r="H59" s="80"/>
      <x:c r="I59" s="80"/>
      <x:c r="J59" s="80"/>
      <x:c r="K59" s="80"/>
      <x:c r="L59" s="80"/>
      <x:c r="M59" s="80"/>
      <x:c r="N59" s="80"/>
      <x:c r="O59" s="80"/>
      <x:c r="P59" s="80"/>
      <x:c r="Q59" s="80"/>
      <x:c r="R59" s="80"/>
      <x:c r="S59" s="80"/>
      <x:c r="T59" s="80"/>
      <x:c r="U59" s="80"/>
      <x:c r="V59" s="80"/>
      <x:c r="W59" s="80"/>
      <x:c r="X59" s="80"/>
      <x:c r="Y59" s="80"/>
      <x:c r="Z59" s="80"/>
      <x:c r="AA59" s="80"/>
      <x:c r="AB59" s="80"/>
      <x:c r="AC59" s="80"/>
      <x:c r="AD59" s="80"/>
      <x:c r="AE59" s="80"/>
      <x:c r="AF59" s="80"/>
      <x:c r="AG59" s="80"/>
      <x:c r="AH59" s="80"/>
      <x:c r="AI59" s="80"/>
      <x:c r="AJ59" s="81"/>
      <x:c r="AK59" s="80"/>
    </x:row>
    <x:row r="60">
      <x:c r="A60" s="80"/>
      <x:c r="B60" s="80"/>
      <x:c r="C60" s="80"/>
      <x:c r="D60" s="80"/>
      <x:c r="E60" s="80"/>
      <x:c r="F60" s="80"/>
      <x:c r="G60" s="80"/>
      <x:c r="H60" s="80"/>
      <x:c r="I60" s="80"/>
      <x:c r="J60" s="80"/>
      <x:c r="K60" s="80"/>
      <x:c r="L60" s="80"/>
      <x:c r="M60" s="80"/>
      <x:c r="N60" s="80"/>
      <x:c r="O60" s="80"/>
      <x:c r="P60" s="80"/>
      <x:c r="Q60" s="80"/>
      <x:c r="R60" s="80"/>
      <x:c r="S60" s="80"/>
      <x:c r="T60" s="80"/>
      <x:c r="U60" s="80"/>
      <x:c r="V60" s="80"/>
      <x:c r="W60" s="80"/>
      <x:c r="X60" s="80"/>
      <x:c r="Y60" s="80"/>
      <x:c r="Z60" s="80"/>
      <x:c r="AA60" s="80"/>
      <x:c r="AB60" s="80"/>
      <x:c r="AC60" s="80"/>
      <x:c r="AD60" s="80"/>
      <x:c r="AE60" s="80"/>
      <x:c r="AF60" s="80"/>
      <x:c r="AG60" s="80"/>
      <x:c r="AH60" s="80"/>
      <x:c r="AI60" s="80"/>
      <x:c r="AJ60" s="81"/>
      <x:c r="AK60" s="80"/>
    </x:row>
    <x:row r="61">
      <x:c r="A61" s="80"/>
      <x:c r="B61" s="80"/>
      <x:c r="C61" s="80"/>
      <x:c r="D61" s="80"/>
      <x:c r="E61" s="80"/>
      <x:c r="F61" s="80"/>
      <x:c r="G61" s="80"/>
      <x:c r="H61" s="80"/>
      <x:c r="I61" s="80"/>
      <x:c r="J61" s="80"/>
      <x:c r="K61" s="80"/>
      <x:c r="L61" s="80"/>
      <x:c r="M61" s="80"/>
      <x:c r="N61" s="80"/>
      <x:c r="O61" s="80"/>
      <x:c r="P61" s="80"/>
      <x:c r="Q61" s="80"/>
      <x:c r="R61" s="80"/>
      <x:c r="S61" s="80"/>
      <x:c r="T61" s="80"/>
      <x:c r="U61" s="80"/>
      <x:c r="V61" s="80"/>
      <x:c r="W61" s="80"/>
      <x:c r="X61" s="80"/>
      <x:c r="Y61" s="80"/>
      <x:c r="Z61" s="80"/>
      <x:c r="AA61" s="80"/>
      <x:c r="AB61" s="80"/>
      <x:c r="AC61" s="80"/>
      <x:c r="AD61" s="80"/>
      <x:c r="AE61" s="80"/>
      <x:c r="AF61" s="80"/>
      <x:c r="AG61" s="80"/>
      <x:c r="AH61" s="80"/>
      <x:c r="AI61" s="80"/>
      <x:c r="AJ61" s="81"/>
      <x:c r="AK61" s="80"/>
    </x:row>
    <x:row r="62">
      <x:c r="A62" s="80"/>
      <x:c r="B62" s="80"/>
      <x:c r="C62" s="80"/>
      <x:c r="D62" s="80"/>
      <x:c r="E62" s="80"/>
      <x:c r="F62" s="80"/>
      <x:c r="G62" s="80"/>
      <x:c r="H62" s="80"/>
      <x:c r="I62" s="80"/>
      <x:c r="J62" s="80"/>
      <x:c r="K62" s="80"/>
      <x:c r="L62" s="80"/>
      <x:c r="M62" s="80"/>
      <x:c r="N62" s="80"/>
      <x:c r="O62" s="80"/>
      <x:c r="P62" s="80"/>
      <x:c r="Q62" s="80"/>
      <x:c r="R62" s="80"/>
      <x:c r="S62" s="80"/>
      <x:c r="T62" s="80"/>
      <x:c r="U62" s="80"/>
      <x:c r="V62" s="80"/>
      <x:c r="W62" s="80"/>
      <x:c r="X62" s="80"/>
      <x:c r="Y62" s="80"/>
      <x:c r="Z62" s="80"/>
      <x:c r="AA62" s="80"/>
      <x:c r="AB62" s="80"/>
      <x:c r="AC62" s="80"/>
      <x:c r="AD62" s="80"/>
      <x:c r="AE62" s="80"/>
      <x:c r="AF62" s="80"/>
      <x:c r="AG62" s="80"/>
      <x:c r="AH62" s="80"/>
      <x:c r="AI62" s="80"/>
      <x:c r="AJ62" s="81"/>
      <x:c r="AK62" s="80"/>
    </x:row>
    <x:row r="63">
      <x:c r="A63" s="80"/>
      <x:c r="B63" s="80"/>
      <x:c r="C63" s="80"/>
      <x:c r="D63" s="80"/>
      <x:c r="E63" s="80"/>
      <x:c r="F63" s="80"/>
      <x:c r="G63" s="80"/>
      <x:c r="H63" s="80"/>
      <x:c r="I63" s="80"/>
      <x:c r="J63" s="80"/>
      <x:c r="K63" s="80"/>
      <x:c r="L63" s="80"/>
      <x:c r="M63" s="80"/>
      <x:c r="N63" s="80"/>
      <x:c r="O63" s="80"/>
      <x:c r="P63" s="80"/>
      <x:c r="Q63" s="80"/>
      <x:c r="R63" s="80"/>
      <x:c r="S63" s="80"/>
      <x:c r="T63" s="80"/>
      <x:c r="U63" s="80"/>
      <x:c r="V63" s="80"/>
      <x:c r="W63" s="80"/>
      <x:c r="X63" s="80"/>
      <x:c r="Y63" s="80"/>
      <x:c r="Z63" s="80"/>
      <x:c r="AA63" s="80"/>
      <x:c r="AB63" s="80"/>
      <x:c r="AC63" s="80"/>
      <x:c r="AD63" s="80"/>
      <x:c r="AE63" s="80"/>
      <x:c r="AF63" s="80"/>
      <x:c r="AG63" s="80"/>
      <x:c r="AH63" s="80"/>
      <x:c r="AI63" s="80"/>
      <x:c r="AJ63" s="81"/>
      <x:c r="AK63" s="80"/>
    </x:row>
    <x:row r="64">
      <x:c r="A64" s="80"/>
      <x:c r="B64" s="80"/>
      <x:c r="C64" s="80"/>
      <x:c r="D64" s="80"/>
      <x:c r="E64" s="80"/>
      <x:c r="F64" s="80"/>
      <x:c r="G64" s="80"/>
      <x:c r="H64" s="80"/>
      <x:c r="I64" s="80"/>
      <x:c r="J64" s="80"/>
      <x:c r="K64" s="80"/>
      <x:c r="L64" s="80"/>
      <x:c r="M64" s="80"/>
      <x:c r="N64" s="80"/>
      <x:c r="O64" s="80"/>
      <x:c r="P64" s="80"/>
      <x:c r="Q64" s="80"/>
      <x:c r="R64" s="80"/>
      <x:c r="S64" s="80"/>
      <x:c r="T64" s="80"/>
      <x:c r="U64" s="80"/>
      <x:c r="V64" s="80"/>
      <x:c r="W64" s="80"/>
      <x:c r="X64" s="80"/>
      <x:c r="Y64" s="80"/>
      <x:c r="Z64" s="80"/>
      <x:c r="AA64" s="80"/>
      <x:c r="AB64" s="80"/>
      <x:c r="AC64" s="80"/>
      <x:c r="AD64" s="80"/>
      <x:c r="AE64" s="80"/>
      <x:c r="AF64" s="80"/>
      <x:c r="AG64" s="80"/>
      <x:c r="AH64" s="80"/>
      <x:c r="AI64" s="80"/>
      <x:c r="AJ64" s="81"/>
      <x:c r="AK64" s="80"/>
    </x:row>
    <x:row r="65">
      <x:c r="A65" s="80"/>
      <x:c r="B65" s="80"/>
      <x:c r="C65" s="80"/>
      <x:c r="D65" s="80"/>
      <x:c r="E65" s="80"/>
      <x:c r="F65" s="80"/>
      <x:c r="G65" s="80"/>
      <x:c r="H65" s="80"/>
      <x:c r="I65" s="80"/>
      <x:c r="J65" s="80"/>
      <x:c r="K65" s="80"/>
      <x:c r="L65" s="80"/>
      <x:c r="M65" s="80"/>
      <x:c r="N65" s="80"/>
      <x:c r="O65" s="80"/>
      <x:c r="P65" s="80"/>
      <x:c r="Q65" s="80"/>
      <x:c r="R65" s="80"/>
      <x:c r="S65" s="80"/>
      <x:c r="T65" s="80"/>
      <x:c r="U65" s="80"/>
      <x:c r="V65" s="80"/>
      <x:c r="W65" s="80"/>
      <x:c r="X65" s="80"/>
      <x:c r="Y65" s="80"/>
      <x:c r="Z65" s="80"/>
      <x:c r="AA65" s="80"/>
      <x:c r="AB65" s="80"/>
      <x:c r="AC65" s="80"/>
      <x:c r="AD65" s="80"/>
      <x:c r="AE65" s="80"/>
      <x:c r="AF65" s="80"/>
      <x:c r="AG65" s="80"/>
      <x:c r="AH65" s="80"/>
      <x:c r="AI65" s="80"/>
      <x:c r="AJ65" s="81"/>
      <x:c r="AK65" s="80"/>
    </x:row>
    <x:row r="66">
      <x:c r="A66" s="80"/>
      <x:c r="B66" s="80"/>
      <x:c r="C66" s="80"/>
      <x:c r="D66" s="80"/>
      <x:c r="E66" s="80"/>
      <x:c r="F66" s="80"/>
      <x:c r="G66" s="80"/>
      <x:c r="H66" s="80"/>
      <x:c r="I66" s="80"/>
      <x:c r="J66" s="80"/>
      <x:c r="K66" s="80"/>
      <x:c r="L66" s="80"/>
      <x:c r="M66" s="80"/>
      <x:c r="N66" s="80"/>
      <x:c r="O66" s="80"/>
      <x:c r="P66" s="80"/>
      <x:c r="Q66" s="80"/>
      <x:c r="R66" s="80"/>
      <x:c r="S66" s="80"/>
      <x:c r="T66" s="80"/>
      <x:c r="U66" s="80"/>
      <x:c r="V66" s="80"/>
      <x:c r="W66" s="80"/>
      <x:c r="X66" s="80"/>
      <x:c r="Y66" s="80"/>
      <x:c r="Z66" s="80"/>
      <x:c r="AA66" s="80"/>
      <x:c r="AB66" s="80"/>
      <x:c r="AC66" s="80"/>
      <x:c r="AD66" s="80"/>
      <x:c r="AE66" s="80"/>
      <x:c r="AF66" s="80"/>
      <x:c r="AG66" s="80"/>
      <x:c r="AH66" s="80"/>
      <x:c r="AI66" s="80"/>
      <x:c r="AJ66" s="81"/>
      <x:c r="AK66" s="80"/>
    </x:row>
    <x:row r="67">
      <x:c r="A67" s="80"/>
      <x:c r="B67" s="80"/>
      <x:c r="C67" s="80"/>
      <x:c r="D67" s="80"/>
      <x:c r="E67" s="80"/>
      <x:c r="F67" s="80"/>
      <x:c r="G67" s="80"/>
      <x:c r="H67" s="80"/>
      <x:c r="I67" s="80"/>
      <x:c r="J67" s="80"/>
      <x:c r="K67" s="80"/>
      <x:c r="L67" s="80"/>
      <x:c r="M67" s="80"/>
      <x:c r="N67" s="80"/>
      <x:c r="O67" s="80"/>
      <x:c r="P67" s="80"/>
      <x:c r="Q67" s="80"/>
      <x:c r="R67" s="80"/>
      <x:c r="S67" s="80"/>
      <x:c r="T67" s="80"/>
      <x:c r="U67" s="80"/>
      <x:c r="V67" s="80"/>
      <x:c r="W67" s="80"/>
      <x:c r="X67" s="80"/>
      <x:c r="Y67" s="80"/>
      <x:c r="Z67" s="80"/>
      <x:c r="AA67" s="80"/>
      <x:c r="AB67" s="80"/>
      <x:c r="AC67" s="80"/>
      <x:c r="AD67" s="80"/>
      <x:c r="AE67" s="80"/>
      <x:c r="AF67" s="80"/>
      <x:c r="AG67" s="80"/>
      <x:c r="AH67" s="80"/>
      <x:c r="AI67" s="80"/>
      <x:c r="AJ67" s="81"/>
      <x:c r="AK67" s="80"/>
    </x:row>
    <x:row r="68">
      <x:c r="A68" s="80"/>
      <x:c r="B68" s="80"/>
      <x:c r="C68" s="80"/>
      <x:c r="D68" s="80"/>
      <x:c r="E68" s="80"/>
      <x:c r="F68" s="80"/>
      <x:c r="G68" s="80"/>
      <x:c r="H68" s="80"/>
      <x:c r="I68" s="80"/>
      <x:c r="J68" s="80"/>
      <x:c r="K68" s="80"/>
      <x:c r="L68" s="80"/>
      <x:c r="M68" s="80"/>
      <x:c r="N68" s="80"/>
      <x:c r="O68" s="80"/>
      <x:c r="P68" s="80"/>
      <x:c r="Q68" s="80"/>
      <x:c r="R68" s="80"/>
      <x:c r="S68" s="80"/>
      <x:c r="T68" s="80"/>
      <x:c r="U68" s="80"/>
      <x:c r="V68" s="80"/>
      <x:c r="W68" s="80"/>
      <x:c r="X68" s="80"/>
      <x:c r="Y68" s="80"/>
      <x:c r="Z68" s="80"/>
      <x:c r="AA68" s="80"/>
      <x:c r="AB68" s="80"/>
      <x:c r="AC68" s="80"/>
      <x:c r="AD68" s="80"/>
      <x:c r="AE68" s="80"/>
      <x:c r="AF68" s="80"/>
      <x:c r="AG68" s="80"/>
      <x:c r="AH68" s="80"/>
      <x:c r="AI68" s="80"/>
      <x:c r="AJ68" s="81"/>
      <x:c r="AK68" s="80"/>
    </x:row>
    <x:row r="69">
      <x:c r="A69" s="80"/>
      <x:c r="B69" s="80"/>
      <x:c r="C69" s="80"/>
      <x:c r="D69" s="80"/>
      <x:c r="E69" s="80"/>
      <x:c r="F69" s="80"/>
      <x:c r="G69" s="80"/>
      <x:c r="H69" s="80"/>
      <x:c r="I69" s="80"/>
      <x:c r="J69" s="80"/>
      <x:c r="K69" s="80"/>
      <x:c r="L69" s="80"/>
      <x:c r="M69" s="80"/>
      <x:c r="N69" s="80"/>
      <x:c r="O69" s="80"/>
      <x:c r="P69" s="80"/>
      <x:c r="Q69" s="80"/>
      <x:c r="R69" s="80"/>
      <x:c r="S69" s="80"/>
      <x:c r="T69" s="80"/>
      <x:c r="U69" s="80"/>
      <x:c r="V69" s="80"/>
      <x:c r="W69" s="80"/>
      <x:c r="X69" s="80"/>
      <x:c r="Y69" s="80"/>
      <x:c r="Z69" s="80"/>
      <x:c r="AA69" s="80"/>
      <x:c r="AB69" s="80"/>
      <x:c r="AC69" s="80"/>
      <x:c r="AD69" s="80"/>
      <x:c r="AE69" s="80"/>
      <x:c r="AF69" s="80"/>
      <x:c r="AG69" s="80"/>
      <x:c r="AH69" s="80"/>
      <x:c r="AI69" s="80"/>
      <x:c r="AJ69" s="81"/>
      <x:c r="AK69" s="80"/>
    </x:row>
    <x:row r="70">
      <x:c r="A70" s="80"/>
      <x:c r="B70" s="80"/>
      <x:c r="C70" s="80"/>
      <x:c r="D70" s="80"/>
      <x:c r="E70" s="80"/>
      <x:c r="F70" s="80"/>
      <x:c r="G70" s="80"/>
      <x:c r="H70" s="80"/>
      <x:c r="I70" s="80"/>
      <x:c r="J70" s="80"/>
      <x:c r="K70" s="80"/>
      <x:c r="L70" s="80"/>
      <x:c r="M70" s="80"/>
      <x:c r="N70" s="80"/>
      <x:c r="O70" s="80"/>
      <x:c r="P70" s="80"/>
      <x:c r="Q70" s="80"/>
      <x:c r="R70" s="80"/>
      <x:c r="S70" s="80"/>
      <x:c r="T70" s="80"/>
      <x:c r="U70" s="80"/>
      <x:c r="V70" s="80"/>
      <x:c r="W70" s="80"/>
      <x:c r="X70" s="80"/>
      <x:c r="Y70" s="80"/>
      <x:c r="Z70" s="80"/>
      <x:c r="AA70" s="80"/>
      <x:c r="AB70" s="80"/>
      <x:c r="AC70" s="80"/>
      <x:c r="AD70" s="80"/>
      <x:c r="AE70" s="80"/>
      <x:c r="AF70" s="80"/>
      <x:c r="AG70" s="80"/>
      <x:c r="AH70" s="80"/>
      <x:c r="AI70" s="80"/>
      <x:c r="AJ70" s="81"/>
      <x:c r="AK70" s="80"/>
    </x:row>
    <x:row r="71">
      <x:c r="A71" s="80"/>
      <x:c r="B71" s="80"/>
      <x:c r="C71" s="80"/>
      <x:c r="D71" s="80"/>
      <x:c r="E71" s="80"/>
      <x:c r="F71" s="80"/>
      <x:c r="G71" s="80"/>
      <x:c r="H71" s="80"/>
      <x:c r="I71" s="80"/>
      <x:c r="J71" s="80"/>
      <x:c r="K71" s="80"/>
      <x:c r="L71" s="80"/>
      <x:c r="M71" s="80"/>
      <x:c r="N71" s="80"/>
      <x:c r="O71" s="80"/>
      <x:c r="P71" s="80"/>
      <x:c r="Q71" s="80"/>
      <x:c r="R71" s="80"/>
      <x:c r="S71" s="80"/>
      <x:c r="T71" s="80"/>
      <x:c r="U71" s="80"/>
      <x:c r="V71" s="80"/>
      <x:c r="W71" s="80"/>
      <x:c r="X71" s="80"/>
      <x:c r="Y71" s="80"/>
      <x:c r="Z71" s="80"/>
      <x:c r="AA71" s="80"/>
      <x:c r="AB71" s="80"/>
      <x:c r="AC71" s="80"/>
      <x:c r="AD71" s="80"/>
      <x:c r="AE71" s="80"/>
      <x:c r="AF71" s="80"/>
      <x:c r="AG71" s="80"/>
      <x:c r="AH71" s="80"/>
      <x:c r="AI71" s="80"/>
      <x:c r="AJ71" s="81"/>
      <x:c r="AK71" s="80"/>
    </x:row>
    <x:row r="72">
      <x:c r="A72" s="80"/>
      <x:c r="B72" s="80"/>
      <x:c r="C72" s="80"/>
      <x:c r="D72" s="80"/>
      <x:c r="E72" s="80"/>
      <x:c r="F72" s="80"/>
      <x:c r="G72" s="80"/>
      <x:c r="H72" s="80"/>
      <x:c r="I72" s="80"/>
      <x:c r="J72" s="80"/>
      <x:c r="K72" s="80"/>
      <x:c r="L72" s="80"/>
      <x:c r="M72" s="80"/>
      <x:c r="N72" s="80"/>
      <x:c r="O72" s="80"/>
      <x:c r="P72" s="80"/>
      <x:c r="Q72" s="80"/>
      <x:c r="R72" s="80"/>
      <x:c r="S72" s="80"/>
      <x:c r="T72" s="80"/>
      <x:c r="U72" s="80"/>
      <x:c r="V72" s="80"/>
      <x:c r="W72" s="80"/>
      <x:c r="X72" s="80"/>
      <x:c r="Y72" s="80"/>
      <x:c r="Z72" s="80"/>
      <x:c r="AA72" s="80"/>
      <x:c r="AB72" s="80"/>
      <x:c r="AC72" s="80"/>
      <x:c r="AD72" s="80"/>
      <x:c r="AE72" s="80"/>
      <x:c r="AF72" s="80"/>
      <x:c r="AG72" s="80"/>
      <x:c r="AH72" s="80"/>
      <x:c r="AI72" s="80"/>
      <x:c r="AJ72" s="81"/>
      <x:c r="AK72" s="80"/>
    </x:row>
    <x:row r="73">
      <x:c r="A73" s="80"/>
      <x:c r="B73" s="80"/>
      <x:c r="C73" s="80"/>
      <x:c r="D73" s="80"/>
      <x:c r="E73" s="80"/>
      <x:c r="F73" s="80"/>
      <x:c r="G73" s="80"/>
      <x:c r="H73" s="80"/>
      <x:c r="I73" s="80"/>
      <x:c r="J73" s="80"/>
      <x:c r="K73" s="80"/>
      <x:c r="L73" s="80"/>
      <x:c r="M73" s="80"/>
      <x:c r="N73" s="80"/>
      <x:c r="O73" s="80"/>
      <x:c r="P73" s="80"/>
      <x:c r="Q73" s="80"/>
      <x:c r="R73" s="80"/>
      <x:c r="S73" s="80"/>
      <x:c r="T73" s="80"/>
      <x:c r="U73" s="80"/>
      <x:c r="V73" s="80"/>
      <x:c r="W73" s="80"/>
      <x:c r="X73" s="80"/>
      <x:c r="Y73" s="80"/>
      <x:c r="Z73" s="80"/>
      <x:c r="AA73" s="80"/>
      <x:c r="AB73" s="80"/>
      <x:c r="AC73" s="80"/>
      <x:c r="AD73" s="80"/>
      <x:c r="AE73" s="80"/>
      <x:c r="AF73" s="80"/>
      <x:c r="AG73" s="80"/>
      <x:c r="AH73" s="80"/>
      <x:c r="AI73" s="80"/>
      <x:c r="AJ73" s="81"/>
      <x:c r="AK73" s="80"/>
    </x:row>
    <x:row r="74">
      <x:c r="A74" s="80"/>
      <x:c r="B74" s="80"/>
      <x:c r="C74" s="80"/>
      <x:c r="D74" s="80"/>
      <x:c r="E74" s="80"/>
      <x:c r="F74" s="80"/>
      <x:c r="G74" s="80"/>
      <x:c r="H74" s="80"/>
      <x:c r="I74" s="80"/>
      <x:c r="J74" s="80"/>
      <x:c r="K74" s="80"/>
      <x:c r="L74" s="80"/>
      <x:c r="M74" s="80"/>
      <x:c r="N74" s="80"/>
      <x:c r="O74" s="80"/>
      <x:c r="P74" s="80"/>
      <x:c r="Q74" s="80"/>
      <x:c r="R74" s="80"/>
      <x:c r="S74" s="80"/>
      <x:c r="T74" s="80"/>
      <x:c r="U74" s="80"/>
      <x:c r="V74" s="80"/>
      <x:c r="W74" s="80"/>
      <x:c r="X74" s="80"/>
      <x:c r="Y74" s="80"/>
      <x:c r="Z74" s="80"/>
      <x:c r="AA74" s="80"/>
      <x:c r="AB74" s="80"/>
      <x:c r="AC74" s="80"/>
      <x:c r="AD74" s="80"/>
      <x:c r="AE74" s="80"/>
      <x:c r="AF74" s="80"/>
      <x:c r="AG74" s="80"/>
      <x:c r="AH74" s="80"/>
      <x:c r="AI74" s="80"/>
      <x:c r="AJ74" s="81"/>
      <x:c r="AK74" s="80"/>
    </x:row>
    <x:row r="75">
      <x:c r="A75" s="80"/>
      <x:c r="B75" s="80"/>
      <x:c r="C75" s="80"/>
      <x:c r="D75" s="80"/>
      <x:c r="E75" s="80"/>
      <x:c r="F75" s="80"/>
      <x:c r="G75" s="80"/>
      <x:c r="H75" s="80"/>
      <x:c r="I75" s="80"/>
      <x:c r="J75" s="80"/>
      <x:c r="K75" s="80"/>
      <x:c r="L75" s="80"/>
      <x:c r="M75" s="80"/>
      <x:c r="N75" s="80"/>
      <x:c r="O75" s="80"/>
      <x:c r="P75" s="80"/>
      <x:c r="Q75" s="80"/>
      <x:c r="R75" s="80"/>
      <x:c r="S75" s="80"/>
      <x:c r="T75" s="80"/>
      <x:c r="U75" s="80"/>
      <x:c r="V75" s="80"/>
      <x:c r="W75" s="80"/>
      <x:c r="X75" s="80"/>
      <x:c r="Y75" s="80"/>
      <x:c r="Z75" s="80"/>
      <x:c r="AA75" s="80"/>
      <x:c r="AB75" s="80"/>
      <x:c r="AC75" s="80"/>
      <x:c r="AD75" s="80"/>
      <x:c r="AE75" s="80"/>
      <x:c r="AF75" s="80"/>
      <x:c r="AG75" s="80"/>
      <x:c r="AH75" s="80"/>
      <x:c r="AI75" s="80"/>
      <x:c r="AJ75" s="81"/>
      <x:c r="AK75" s="80"/>
    </x:row>
    <x:row r="76">
      <x:c r="A76" s="80"/>
      <x:c r="B76" s="80"/>
      <x:c r="C76" s="80"/>
      <x:c r="D76" s="80"/>
      <x:c r="E76" s="80"/>
      <x:c r="F76" s="80"/>
      <x:c r="G76" s="80"/>
      <x:c r="H76" s="80"/>
      <x:c r="I76" s="80"/>
      <x:c r="J76" s="80"/>
      <x:c r="K76" s="80"/>
      <x:c r="L76" s="80"/>
      <x:c r="M76" s="80"/>
      <x:c r="N76" s="80"/>
      <x:c r="O76" s="80"/>
      <x:c r="P76" s="80"/>
      <x:c r="Q76" s="80"/>
      <x:c r="R76" s="80"/>
      <x:c r="S76" s="80"/>
      <x:c r="T76" s="80"/>
      <x:c r="U76" s="80"/>
      <x:c r="V76" s="80"/>
      <x:c r="W76" s="80"/>
      <x:c r="X76" s="80"/>
      <x:c r="Y76" s="80"/>
      <x:c r="Z76" s="80"/>
      <x:c r="AA76" s="80"/>
      <x:c r="AB76" s="80"/>
      <x:c r="AC76" s="80"/>
      <x:c r="AD76" s="80"/>
      <x:c r="AE76" s="80"/>
      <x:c r="AF76" s="80"/>
      <x:c r="AG76" s="80"/>
      <x:c r="AH76" s="80"/>
      <x:c r="AI76" s="80"/>
      <x:c r="AJ76" s="81"/>
      <x:c r="AK76" s="80"/>
    </x:row>
    <x:row r="77">
      <x:c r="A77" s="80"/>
      <x:c r="B77" s="80"/>
      <x:c r="C77" s="80"/>
      <x:c r="D77" s="80"/>
      <x:c r="E77" s="80"/>
      <x:c r="F77" s="80"/>
      <x:c r="G77" s="80"/>
      <x:c r="H77" s="80"/>
      <x:c r="I77" s="80"/>
      <x:c r="J77" s="80"/>
      <x:c r="K77" s="80"/>
      <x:c r="L77" s="80"/>
      <x:c r="M77" s="80"/>
      <x:c r="N77" s="80"/>
      <x:c r="O77" s="80"/>
      <x:c r="P77" s="80"/>
      <x:c r="Q77" s="80"/>
      <x:c r="R77" s="80"/>
      <x:c r="S77" s="80"/>
      <x:c r="T77" s="80"/>
      <x:c r="U77" s="80"/>
      <x:c r="V77" s="80"/>
      <x:c r="W77" s="80"/>
      <x:c r="X77" s="80"/>
      <x:c r="Y77" s="80"/>
      <x:c r="Z77" s="80"/>
      <x:c r="AA77" s="80"/>
      <x:c r="AB77" s="80"/>
      <x:c r="AC77" s="80"/>
      <x:c r="AD77" s="80"/>
      <x:c r="AE77" s="80"/>
      <x:c r="AF77" s="80"/>
      <x:c r="AG77" s="80"/>
      <x:c r="AH77" s="80"/>
      <x:c r="AI77" s="80"/>
      <x:c r="AJ77" s="81"/>
      <x:c r="AK77" s="80"/>
    </x:row>
    <x:row r="78">
      <x:c r="A78" s="80"/>
      <x:c r="B78" s="80"/>
      <x:c r="C78" s="80"/>
      <x:c r="D78" s="80"/>
      <x:c r="E78" s="80"/>
      <x:c r="F78" s="80"/>
      <x:c r="G78" s="80"/>
      <x:c r="H78" s="80"/>
      <x:c r="I78" s="80"/>
      <x:c r="J78" s="80"/>
      <x:c r="K78" s="80"/>
      <x:c r="L78" s="80"/>
      <x:c r="M78" s="80"/>
      <x:c r="N78" s="80"/>
      <x:c r="O78" s="80"/>
      <x:c r="P78" s="80"/>
      <x:c r="Q78" s="80"/>
      <x:c r="R78" s="80"/>
      <x:c r="S78" s="80"/>
      <x:c r="T78" s="80"/>
      <x:c r="U78" s="80"/>
      <x:c r="V78" s="80"/>
      <x:c r="W78" s="80"/>
      <x:c r="X78" s="80"/>
      <x:c r="Y78" s="80"/>
      <x:c r="Z78" s="80"/>
      <x:c r="AA78" s="80"/>
      <x:c r="AB78" s="80"/>
      <x:c r="AC78" s="80"/>
      <x:c r="AD78" s="80"/>
      <x:c r="AE78" s="80"/>
      <x:c r="AF78" s="80"/>
      <x:c r="AG78" s="80"/>
      <x:c r="AH78" s="80"/>
      <x:c r="AI78" s="80"/>
      <x:c r="AJ78" s="81"/>
      <x:c r="AK78" s="80"/>
    </x:row>
    <x:row r="79">
      <x:c r="A79" s="80"/>
      <x:c r="B79" s="80"/>
      <x:c r="C79" s="80"/>
      <x:c r="D79" s="80"/>
      <x:c r="E79" s="80"/>
      <x:c r="F79" s="80"/>
      <x:c r="G79" s="80"/>
      <x:c r="H79" s="80"/>
      <x:c r="I79" s="80"/>
      <x:c r="J79" s="80"/>
      <x:c r="K79" s="80"/>
      <x:c r="L79" s="80"/>
      <x:c r="M79" s="80"/>
      <x:c r="N79" s="80"/>
      <x:c r="O79" s="80"/>
      <x:c r="P79" s="80"/>
      <x:c r="Q79" s="80"/>
      <x:c r="R79" s="80"/>
      <x:c r="S79" s="80"/>
      <x:c r="T79" s="80"/>
      <x:c r="U79" s="80"/>
      <x:c r="V79" s="80"/>
      <x:c r="W79" s="80"/>
      <x:c r="X79" s="80"/>
      <x:c r="Y79" s="80"/>
      <x:c r="Z79" s="80"/>
      <x:c r="AA79" s="80"/>
      <x:c r="AB79" s="80"/>
      <x:c r="AC79" s="80"/>
      <x:c r="AD79" s="80"/>
      <x:c r="AE79" s="80"/>
      <x:c r="AF79" s="80"/>
      <x:c r="AG79" s="80"/>
      <x:c r="AH79" s="80"/>
      <x:c r="AI79" s="80"/>
      <x:c r="AJ79" s="81"/>
      <x:c r="AK79" s="80"/>
    </x:row>
    <x:row r="80">
      <x:c r="A80" s="80"/>
      <x:c r="B80" s="80"/>
      <x:c r="C80" s="80"/>
      <x:c r="D80" s="80"/>
      <x:c r="E80" s="80"/>
      <x:c r="F80" s="80"/>
      <x:c r="G80" s="80"/>
      <x:c r="H80" s="80"/>
      <x:c r="I80" s="80"/>
      <x:c r="J80" s="80"/>
      <x:c r="K80" s="80"/>
      <x:c r="L80" s="80"/>
      <x:c r="M80" s="80"/>
      <x:c r="N80" s="80"/>
      <x:c r="O80" s="80"/>
      <x:c r="P80" s="80"/>
      <x:c r="Q80" s="80"/>
      <x:c r="R80" s="80"/>
      <x:c r="S80" s="80"/>
      <x:c r="T80" s="80"/>
      <x:c r="U80" s="80"/>
      <x:c r="V80" s="80"/>
      <x:c r="W80" s="80"/>
      <x:c r="X80" s="80"/>
      <x:c r="Y80" s="80"/>
      <x:c r="Z80" s="80"/>
      <x:c r="AA80" s="80"/>
      <x:c r="AB80" s="80"/>
      <x:c r="AC80" s="80"/>
      <x:c r="AD80" s="80"/>
      <x:c r="AE80" s="80"/>
      <x:c r="AF80" s="80"/>
      <x:c r="AG80" s="80"/>
      <x:c r="AH80" s="80"/>
      <x:c r="AI80" s="80"/>
      <x:c r="AJ80" s="81"/>
      <x:c r="AK80" s="80"/>
    </x:row>
    <x:row r="81">
      <x:c r="A81" s="80"/>
      <x:c r="B81" s="80"/>
      <x:c r="C81" s="80"/>
      <x:c r="D81" s="80"/>
      <x:c r="E81" s="80"/>
      <x:c r="F81" s="80"/>
      <x:c r="G81" s="80"/>
      <x:c r="H81" s="80"/>
      <x:c r="I81" s="80"/>
      <x:c r="J81" s="80"/>
      <x:c r="K81" s="80"/>
      <x:c r="L81" s="80"/>
      <x:c r="M81" s="80"/>
      <x:c r="N81" s="80"/>
      <x:c r="O81" s="80"/>
      <x:c r="P81" s="80"/>
      <x:c r="Q81" s="80"/>
      <x:c r="R81" s="80"/>
      <x:c r="S81" s="80"/>
      <x:c r="T81" s="80"/>
      <x:c r="U81" s="80"/>
      <x:c r="V81" s="80"/>
      <x:c r="W81" s="80"/>
      <x:c r="X81" s="80"/>
      <x:c r="Y81" s="80"/>
      <x:c r="Z81" s="80"/>
      <x:c r="AA81" s="80"/>
      <x:c r="AB81" s="80"/>
      <x:c r="AC81" s="80"/>
      <x:c r="AD81" s="80"/>
      <x:c r="AE81" s="80"/>
      <x:c r="AF81" s="80"/>
      <x:c r="AG81" s="80"/>
      <x:c r="AH81" s="80"/>
      <x:c r="AI81" s="80"/>
      <x:c r="AJ81" s="81"/>
      <x:c r="AK81" s="80"/>
    </x:row>
    <x:row r="82">
      <x:c r="A82" s="80"/>
      <x:c r="B82" s="80"/>
      <x:c r="C82" s="80"/>
      <x:c r="D82" s="80"/>
      <x:c r="E82" s="80"/>
      <x:c r="F82" s="80"/>
      <x:c r="G82" s="80"/>
      <x:c r="H82" s="80"/>
      <x:c r="I82" s="80"/>
      <x:c r="J82" s="80"/>
      <x:c r="K82" s="80"/>
      <x:c r="L82" s="80"/>
      <x:c r="M82" s="80"/>
      <x:c r="N82" s="80"/>
      <x:c r="O82" s="80"/>
      <x:c r="P82" s="80"/>
      <x:c r="Q82" s="80"/>
      <x:c r="R82" s="80"/>
      <x:c r="S82" s="80"/>
      <x:c r="T82" s="80"/>
      <x:c r="U82" s="80"/>
      <x:c r="V82" s="80"/>
      <x:c r="W82" s="80"/>
      <x:c r="X82" s="80"/>
      <x:c r="Y82" s="80"/>
      <x:c r="Z82" s="80"/>
      <x:c r="AA82" s="80"/>
      <x:c r="AB82" s="80"/>
      <x:c r="AC82" s="80"/>
      <x:c r="AD82" s="80"/>
      <x:c r="AE82" s="80"/>
      <x:c r="AF82" s="80"/>
      <x:c r="AG82" s="80"/>
      <x:c r="AH82" s="80"/>
      <x:c r="AI82" s="80"/>
      <x:c r="AJ82" s="81"/>
      <x:c r="AK82" s="80"/>
    </x:row>
    <x:row r="83">
      <x:c r="A83" s="80"/>
      <x:c r="B83" s="80"/>
      <x:c r="C83" s="80"/>
      <x:c r="D83" s="80"/>
      <x:c r="E83" s="80"/>
      <x:c r="F83" s="80"/>
      <x:c r="G83" s="80"/>
      <x:c r="H83" s="80"/>
      <x:c r="I83" s="80"/>
      <x:c r="J83" s="80"/>
      <x:c r="K83" s="80"/>
      <x:c r="L83" s="80"/>
      <x:c r="M83" s="80"/>
      <x:c r="N83" s="80"/>
      <x:c r="O83" s="80"/>
      <x:c r="P83" s="80"/>
      <x:c r="Q83" s="80"/>
      <x:c r="R83" s="80"/>
      <x:c r="S83" s="80"/>
      <x:c r="T83" s="80"/>
      <x:c r="U83" s="80"/>
      <x:c r="V83" s="80"/>
      <x:c r="W83" s="80"/>
      <x:c r="X83" s="80"/>
      <x:c r="Y83" s="80"/>
      <x:c r="Z83" s="80"/>
      <x:c r="AA83" s="80"/>
      <x:c r="AB83" s="80"/>
      <x:c r="AC83" s="80"/>
      <x:c r="AD83" s="80"/>
      <x:c r="AE83" s="80"/>
      <x:c r="AF83" s="80"/>
      <x:c r="AG83" s="80"/>
      <x:c r="AH83" s="80"/>
      <x:c r="AI83" s="80"/>
      <x:c r="AJ83" s="81"/>
      <x:c r="AK83" s="80"/>
    </x:row>
    <x:row r="84">
      <x:c r="A84" s="80"/>
      <x:c r="B84" s="80"/>
      <x:c r="C84" s="80"/>
      <x:c r="D84" s="80"/>
      <x:c r="E84" s="80"/>
      <x:c r="F84" s="80"/>
      <x:c r="G84" s="80"/>
      <x:c r="H84" s="80"/>
      <x:c r="I84" s="80"/>
      <x:c r="J84" s="80"/>
      <x:c r="K84" s="80"/>
      <x:c r="L84" s="80"/>
      <x:c r="M84" s="80"/>
      <x:c r="N84" s="80"/>
      <x:c r="O84" s="80"/>
      <x:c r="P84" s="80"/>
      <x:c r="Q84" s="80"/>
      <x:c r="R84" s="80"/>
      <x:c r="S84" s="80"/>
      <x:c r="T84" s="80"/>
      <x:c r="U84" s="80"/>
      <x:c r="V84" s="80"/>
      <x:c r="W84" s="80"/>
      <x:c r="X84" s="80"/>
      <x:c r="Y84" s="80"/>
      <x:c r="Z84" s="80"/>
      <x:c r="AA84" s="80"/>
      <x:c r="AB84" s="80"/>
      <x:c r="AC84" s="80"/>
      <x:c r="AD84" s="80"/>
      <x:c r="AE84" s="80"/>
      <x:c r="AF84" s="80"/>
      <x:c r="AG84" s="80"/>
      <x:c r="AH84" s="80"/>
      <x:c r="AI84" s="80"/>
      <x:c r="AJ84" s="81"/>
      <x:c r="AK84" s="80"/>
    </x:row>
    <x:row r="85">
      <x:c r="A85" s="80"/>
      <x:c r="B85" s="80"/>
      <x:c r="C85" s="80"/>
      <x:c r="D85" s="80"/>
      <x:c r="E85" s="80"/>
      <x:c r="F85" s="80"/>
      <x:c r="G85" s="80"/>
      <x:c r="H85" s="80"/>
      <x:c r="I85" s="80"/>
      <x:c r="J85" s="80"/>
      <x:c r="K85" s="80"/>
      <x:c r="L85" s="80"/>
      <x:c r="M85" s="80"/>
      <x:c r="N85" s="80"/>
      <x:c r="O85" s="80"/>
      <x:c r="P85" s="80"/>
      <x:c r="Q85" s="80"/>
      <x:c r="R85" s="80"/>
      <x:c r="S85" s="80"/>
      <x:c r="T85" s="80"/>
      <x:c r="U85" s="80"/>
      <x:c r="V85" s="80"/>
      <x:c r="W85" s="80"/>
      <x:c r="X85" s="80"/>
      <x:c r="Y85" s="80"/>
      <x:c r="Z85" s="80"/>
      <x:c r="AA85" s="80"/>
      <x:c r="AB85" s="80"/>
      <x:c r="AC85" s="80"/>
      <x:c r="AD85" s="80"/>
      <x:c r="AE85" s="80"/>
      <x:c r="AF85" s="80"/>
      <x:c r="AG85" s="80"/>
      <x:c r="AH85" s="80"/>
      <x:c r="AI85" s="80"/>
      <x:c r="AJ85" s="81"/>
      <x:c r="AK85" s="80"/>
    </x:row>
    <x:row r="86">
      <x:c r="A86" s="80"/>
      <x:c r="B86" s="80"/>
      <x:c r="C86" s="80"/>
      <x:c r="D86" s="80"/>
      <x:c r="E86" s="80"/>
      <x:c r="F86" s="80"/>
      <x:c r="G86" s="80"/>
      <x:c r="H86" s="80"/>
      <x:c r="I86" s="80"/>
      <x:c r="J86" s="80"/>
      <x:c r="K86" s="80"/>
      <x:c r="L86" s="80"/>
      <x:c r="M86" s="80"/>
      <x:c r="N86" s="80"/>
      <x:c r="O86" s="80"/>
      <x:c r="P86" s="80"/>
      <x:c r="Q86" s="80"/>
      <x:c r="R86" s="80"/>
      <x:c r="S86" s="80"/>
      <x:c r="T86" s="80"/>
      <x:c r="U86" s="80"/>
      <x:c r="V86" s="80"/>
      <x:c r="W86" s="80"/>
      <x:c r="X86" s="80"/>
      <x:c r="Y86" s="80"/>
      <x:c r="Z86" s="80"/>
      <x:c r="AA86" s="80"/>
      <x:c r="AB86" s="80"/>
      <x:c r="AC86" s="80"/>
      <x:c r="AD86" s="80"/>
      <x:c r="AE86" s="80"/>
      <x:c r="AF86" s="80"/>
      <x:c r="AG86" s="80"/>
      <x:c r="AH86" s="80"/>
      <x:c r="AI86" s="80"/>
      <x:c r="AJ86" s="81"/>
      <x:c r="AK86" s="80"/>
    </x:row>
    <x:row r="87">
      <x:c r="A87" s="80"/>
      <x:c r="B87" s="80"/>
      <x:c r="C87" s="80"/>
      <x:c r="D87" s="80"/>
      <x:c r="E87" s="80"/>
      <x:c r="F87" s="80"/>
      <x:c r="G87" s="80"/>
      <x:c r="H87" s="80"/>
      <x:c r="I87" s="80"/>
      <x:c r="J87" s="80"/>
      <x:c r="K87" s="80"/>
      <x:c r="L87" s="80"/>
      <x:c r="M87" s="80"/>
      <x:c r="N87" s="80"/>
      <x:c r="O87" s="80"/>
      <x:c r="P87" s="80"/>
      <x:c r="Q87" s="80"/>
      <x:c r="R87" s="80"/>
      <x:c r="S87" s="80"/>
      <x:c r="T87" s="80"/>
      <x:c r="U87" s="80"/>
      <x:c r="V87" s="80"/>
      <x:c r="W87" s="80"/>
      <x:c r="X87" s="80"/>
      <x:c r="Y87" s="80"/>
      <x:c r="Z87" s="80"/>
      <x:c r="AA87" s="80"/>
      <x:c r="AB87" s="80"/>
      <x:c r="AC87" s="80"/>
      <x:c r="AD87" s="80"/>
      <x:c r="AE87" s="80"/>
      <x:c r="AF87" s="80"/>
      <x:c r="AG87" s="80"/>
      <x:c r="AH87" s="80"/>
      <x:c r="AI87" s="80"/>
      <x:c r="AJ87" s="81"/>
      <x:c r="AK87" s="80"/>
    </x:row>
    <x:row r="88">
      <x:c r="A88" s="80"/>
      <x:c r="B88" s="80"/>
      <x:c r="C88" s="80"/>
      <x:c r="D88" s="80"/>
      <x:c r="E88" s="80"/>
      <x:c r="F88" s="80"/>
      <x:c r="G88" s="80"/>
      <x:c r="H88" s="80"/>
      <x:c r="I88" s="80"/>
      <x:c r="J88" s="80"/>
      <x:c r="K88" s="80"/>
      <x:c r="L88" s="80"/>
      <x:c r="M88" s="80"/>
      <x:c r="N88" s="80"/>
      <x:c r="O88" s="80"/>
      <x:c r="P88" s="80"/>
      <x:c r="Q88" s="80"/>
      <x:c r="R88" s="80"/>
      <x:c r="S88" s="80"/>
      <x:c r="T88" s="80"/>
      <x:c r="U88" s="80"/>
      <x:c r="V88" s="80"/>
      <x:c r="W88" s="80"/>
      <x:c r="X88" s="80"/>
      <x:c r="Y88" s="80"/>
      <x:c r="Z88" s="80"/>
      <x:c r="AA88" s="80"/>
      <x:c r="AB88" s="80"/>
      <x:c r="AC88" s="80"/>
      <x:c r="AD88" s="80"/>
      <x:c r="AE88" s="80"/>
      <x:c r="AF88" s="80"/>
      <x:c r="AG88" s="80"/>
      <x:c r="AH88" s="80"/>
      <x:c r="AI88" s="80"/>
      <x:c r="AJ88" s="81"/>
      <x:c r="AK88" s="80"/>
    </x:row>
    <x:row r="89">
      <x:c r="A89" s="80"/>
      <x:c r="B89" s="80"/>
      <x:c r="C89" s="80"/>
      <x:c r="D89" s="80"/>
      <x:c r="E89" s="80"/>
      <x:c r="F89" s="80"/>
      <x:c r="G89" s="80"/>
      <x:c r="H89" s="80"/>
      <x:c r="I89" s="80"/>
      <x:c r="J89" s="80"/>
      <x:c r="K89" s="80"/>
      <x:c r="L89" s="80"/>
      <x:c r="M89" s="80"/>
      <x:c r="N89" s="80"/>
      <x:c r="O89" s="80"/>
      <x:c r="P89" s="80"/>
      <x:c r="Q89" s="80"/>
      <x:c r="R89" s="80"/>
      <x:c r="S89" s="80"/>
      <x:c r="T89" s="80"/>
      <x:c r="U89" s="80"/>
      <x:c r="V89" s="80"/>
      <x:c r="W89" s="80"/>
      <x:c r="X89" s="80"/>
      <x:c r="Y89" s="80"/>
      <x:c r="Z89" s="80"/>
      <x:c r="AA89" s="80"/>
      <x:c r="AB89" s="80"/>
      <x:c r="AC89" s="80"/>
      <x:c r="AD89" s="80"/>
      <x:c r="AE89" s="80"/>
      <x:c r="AF89" s="80"/>
      <x:c r="AG89" s="80"/>
      <x:c r="AH89" s="80"/>
      <x:c r="AI89" s="80"/>
      <x:c r="AJ89" s="81"/>
      <x:c r="AK89" s="80"/>
    </x:row>
    <x:row r="90">
      <x:c r="A90" s="80"/>
      <x:c r="B90" s="80"/>
      <x:c r="C90" s="80"/>
      <x:c r="D90" s="80"/>
      <x:c r="E90" s="80"/>
      <x:c r="F90" s="80"/>
      <x:c r="G90" s="80"/>
      <x:c r="H90" s="80"/>
      <x:c r="I90" s="80"/>
      <x:c r="J90" s="80"/>
      <x:c r="K90" s="80"/>
      <x:c r="L90" s="80"/>
      <x:c r="M90" s="80"/>
      <x:c r="N90" s="80"/>
      <x:c r="O90" s="80"/>
      <x:c r="P90" s="80"/>
      <x:c r="Q90" s="80"/>
      <x:c r="R90" s="80"/>
      <x:c r="S90" s="80"/>
      <x:c r="T90" s="80"/>
      <x:c r="U90" s="80"/>
      <x:c r="V90" s="80"/>
      <x:c r="W90" s="80"/>
      <x:c r="X90" s="80"/>
      <x:c r="Y90" s="80"/>
      <x:c r="Z90" s="80"/>
      <x:c r="AA90" s="80"/>
      <x:c r="AB90" s="80"/>
      <x:c r="AC90" s="80"/>
      <x:c r="AD90" s="80"/>
      <x:c r="AE90" s="80"/>
      <x:c r="AF90" s="80"/>
      <x:c r="AG90" s="80"/>
      <x:c r="AH90" s="80"/>
      <x:c r="AI90" s="80"/>
      <x:c r="AJ90" s="81"/>
      <x:c r="AK90" s="80"/>
    </x:row>
    <x:row r="91">
      <x:c r="A91" s="80"/>
      <x:c r="B91" s="80"/>
      <x:c r="C91" s="80"/>
      <x:c r="D91" s="80"/>
      <x:c r="E91" s="80"/>
      <x:c r="F91" s="80"/>
      <x:c r="G91" s="80"/>
      <x:c r="H91" s="80"/>
      <x:c r="I91" s="80"/>
      <x:c r="J91" s="80"/>
      <x:c r="K91" s="80"/>
      <x:c r="L91" s="80"/>
      <x:c r="M91" s="80"/>
      <x:c r="N91" s="80"/>
      <x:c r="O91" s="80"/>
      <x:c r="P91" s="80"/>
      <x:c r="Q91" s="80"/>
      <x:c r="R91" s="80"/>
      <x:c r="S91" s="80"/>
      <x:c r="T91" s="80"/>
      <x:c r="U91" s="80"/>
      <x:c r="V91" s="80"/>
      <x:c r="W91" s="80"/>
      <x:c r="X91" s="80"/>
      <x:c r="Y91" s="80"/>
      <x:c r="Z91" s="80"/>
      <x:c r="AA91" s="80"/>
      <x:c r="AB91" s="80"/>
      <x:c r="AC91" s="80"/>
      <x:c r="AD91" s="80"/>
      <x:c r="AE91" s="80"/>
      <x:c r="AF91" s="80"/>
      <x:c r="AG91" s="80"/>
      <x:c r="AH91" s="80"/>
      <x:c r="AI91" s="80"/>
      <x:c r="AJ91" s="81"/>
      <x:c r="AK91" s="80"/>
    </x:row>
    <x:row r="92">
      <x:c r="A92" s="80"/>
      <x:c r="B92" s="80"/>
      <x:c r="C92" s="80"/>
      <x:c r="D92" s="80"/>
      <x:c r="E92" s="80"/>
      <x:c r="F92" s="80"/>
      <x:c r="G92" s="80"/>
      <x:c r="H92" s="80"/>
      <x:c r="I92" s="80"/>
      <x:c r="J92" s="80"/>
      <x:c r="K92" s="80"/>
      <x:c r="L92" s="80"/>
      <x:c r="M92" s="80"/>
      <x:c r="N92" s="80"/>
      <x:c r="O92" s="80"/>
      <x:c r="P92" s="80"/>
      <x:c r="Q92" s="80"/>
      <x:c r="R92" s="80"/>
      <x:c r="S92" s="80"/>
      <x:c r="T92" s="80"/>
      <x:c r="U92" s="80"/>
      <x:c r="V92" s="80"/>
      <x:c r="W92" s="80"/>
      <x:c r="X92" s="80"/>
      <x:c r="Y92" s="80"/>
      <x:c r="Z92" s="80"/>
      <x:c r="AA92" s="80"/>
      <x:c r="AB92" s="80"/>
      <x:c r="AC92" s="80"/>
      <x:c r="AD92" s="80"/>
      <x:c r="AE92" s="80"/>
      <x:c r="AF92" s="80"/>
      <x:c r="AG92" s="80"/>
      <x:c r="AH92" s="80"/>
      <x:c r="AI92" s="80"/>
      <x:c r="AJ92" s="81"/>
      <x:c r="AK92" s="80"/>
    </x:row>
    <x:row r="93">
      <x:c r="A93" s="80"/>
      <x:c r="B93" s="80"/>
      <x:c r="C93" s="80"/>
      <x:c r="D93" s="80"/>
      <x:c r="E93" s="80"/>
      <x:c r="F93" s="80"/>
      <x:c r="G93" s="80"/>
      <x:c r="H93" s="80"/>
      <x:c r="I93" s="80"/>
      <x:c r="J93" s="80"/>
      <x:c r="K93" s="80"/>
      <x:c r="L93" s="80"/>
      <x:c r="M93" s="80"/>
      <x:c r="N93" s="80"/>
      <x:c r="O93" s="80"/>
      <x:c r="P93" s="80"/>
      <x:c r="Q93" s="80"/>
      <x:c r="R93" s="80"/>
      <x:c r="S93" s="80"/>
      <x:c r="T93" s="80"/>
      <x:c r="U93" s="80"/>
      <x:c r="V93" s="80"/>
      <x:c r="W93" s="80"/>
      <x:c r="X93" s="80"/>
      <x:c r="Y93" s="80"/>
      <x:c r="Z93" s="80"/>
      <x:c r="AA93" s="80"/>
      <x:c r="AB93" s="80"/>
      <x:c r="AC93" s="80"/>
      <x:c r="AD93" s="80"/>
      <x:c r="AE93" s="80"/>
      <x:c r="AF93" s="80"/>
      <x:c r="AG93" s="80"/>
      <x:c r="AH93" s="80"/>
      <x:c r="AI93" s="80"/>
      <x:c r="AJ93" s="81"/>
      <x:c r="AK93" s="80"/>
    </x:row>
    <x:row r="94">
      <x:c r="A94" s="80"/>
      <x:c r="B94" s="80"/>
      <x:c r="C94" s="80"/>
      <x:c r="D94" s="80"/>
      <x:c r="E94" s="80"/>
      <x:c r="F94" s="80"/>
      <x:c r="G94" s="80"/>
      <x:c r="H94" s="80"/>
      <x:c r="I94" s="80"/>
      <x:c r="J94" s="80"/>
      <x:c r="K94" s="80"/>
      <x:c r="L94" s="80"/>
      <x:c r="M94" s="80"/>
      <x:c r="N94" s="80"/>
      <x:c r="O94" s="80"/>
      <x:c r="P94" s="80"/>
      <x:c r="Q94" s="80"/>
      <x:c r="R94" s="80"/>
      <x:c r="S94" s="80"/>
      <x:c r="T94" s="80"/>
      <x:c r="U94" s="80"/>
      <x:c r="V94" s="80"/>
      <x:c r="W94" s="80"/>
      <x:c r="X94" s="80"/>
      <x:c r="Y94" s="80"/>
      <x:c r="Z94" s="80"/>
      <x:c r="AA94" s="80"/>
      <x:c r="AB94" s="80"/>
      <x:c r="AC94" s="80"/>
      <x:c r="AD94" s="80"/>
      <x:c r="AE94" s="80"/>
      <x:c r="AF94" s="80"/>
      <x:c r="AG94" s="80"/>
      <x:c r="AH94" s="80"/>
      <x:c r="AI94" s="80"/>
      <x:c r="AJ94" s="81"/>
      <x:c r="AK94" s="80"/>
    </x:row>
    <x:row r="95">
      <x:c r="A95" s="80"/>
      <x:c r="B95" s="80"/>
      <x:c r="C95" s="80"/>
      <x:c r="D95" s="80"/>
      <x:c r="E95" s="80"/>
      <x:c r="F95" s="80"/>
      <x:c r="G95" s="80"/>
      <x:c r="H95" s="80"/>
      <x:c r="I95" s="80"/>
      <x:c r="J95" s="80"/>
      <x:c r="K95" s="80"/>
      <x:c r="L95" s="80"/>
      <x:c r="M95" s="80"/>
      <x:c r="N95" s="80"/>
      <x:c r="O95" s="80"/>
      <x:c r="P95" s="80"/>
      <x:c r="Q95" s="80"/>
      <x:c r="R95" s="80"/>
      <x:c r="S95" s="80"/>
      <x:c r="T95" s="80"/>
      <x:c r="U95" s="80"/>
      <x:c r="V95" s="80"/>
      <x:c r="W95" s="80"/>
      <x:c r="X95" s="80"/>
      <x:c r="Y95" s="80"/>
      <x:c r="Z95" s="80"/>
      <x:c r="AA95" s="80"/>
      <x:c r="AB95" s="80"/>
      <x:c r="AC95" s="80"/>
      <x:c r="AD95" s="80"/>
      <x:c r="AE95" s="80"/>
      <x:c r="AF95" s="80"/>
      <x:c r="AG95" s="80"/>
      <x:c r="AH95" s="80"/>
      <x:c r="AI95" s="80"/>
      <x:c r="AJ95" s="81"/>
      <x:c r="AK95" s="80"/>
    </x:row>
    <x:row r="96">
      <x:c r="A96" s="80"/>
      <x:c r="B96" s="80"/>
      <x:c r="C96" s="80"/>
      <x:c r="D96" s="80"/>
      <x:c r="E96" s="80"/>
      <x:c r="F96" s="80"/>
      <x:c r="G96" s="80"/>
      <x:c r="H96" s="80"/>
      <x:c r="I96" s="80"/>
      <x:c r="J96" s="80"/>
      <x:c r="K96" s="80"/>
      <x:c r="L96" s="80"/>
      <x:c r="M96" s="80"/>
      <x:c r="N96" s="80"/>
      <x:c r="O96" s="80"/>
      <x:c r="P96" s="80"/>
      <x:c r="Q96" s="80"/>
      <x:c r="R96" s="80"/>
      <x:c r="S96" s="80"/>
      <x:c r="T96" s="80"/>
      <x:c r="U96" s="80"/>
      <x:c r="V96" s="80"/>
      <x:c r="W96" s="80"/>
      <x:c r="X96" s="80"/>
      <x:c r="Y96" s="80"/>
      <x:c r="Z96" s="80"/>
      <x:c r="AA96" s="80"/>
      <x:c r="AB96" s="80"/>
      <x:c r="AC96" s="80"/>
      <x:c r="AD96" s="80"/>
      <x:c r="AE96" s="80"/>
      <x:c r="AF96" s="80"/>
      <x:c r="AG96" s="80"/>
      <x:c r="AH96" s="80"/>
      <x:c r="AI96" s="80"/>
      <x:c r="AJ96" s="81"/>
      <x:c r="AK96" s="80"/>
    </x:row>
    <x:row r="97">
      <x:c r="A97" s="80"/>
      <x:c r="B97" s="80"/>
      <x:c r="C97" s="80"/>
      <x:c r="D97" s="80"/>
      <x:c r="E97" s="80"/>
      <x:c r="F97" s="80"/>
      <x:c r="G97" s="80"/>
      <x:c r="H97" s="80"/>
      <x:c r="I97" s="80"/>
      <x:c r="J97" s="80"/>
      <x:c r="K97" s="80"/>
      <x:c r="L97" s="80"/>
      <x:c r="M97" s="80"/>
      <x:c r="N97" s="80"/>
      <x:c r="O97" s="80"/>
      <x:c r="P97" s="80"/>
      <x:c r="Q97" s="80"/>
      <x:c r="R97" s="80"/>
      <x:c r="S97" s="80"/>
      <x:c r="T97" s="80"/>
      <x:c r="U97" s="80"/>
      <x:c r="V97" s="80"/>
      <x:c r="W97" s="80"/>
      <x:c r="X97" s="80"/>
      <x:c r="Y97" s="80"/>
      <x:c r="Z97" s="80"/>
      <x:c r="AA97" s="80"/>
      <x:c r="AB97" s="80"/>
      <x:c r="AC97" s="80"/>
      <x:c r="AD97" s="80"/>
      <x:c r="AE97" s="80"/>
      <x:c r="AF97" s="80"/>
      <x:c r="AG97" s="80"/>
      <x:c r="AH97" s="80"/>
      <x:c r="AI97" s="80"/>
      <x:c r="AJ97" s="81"/>
      <x:c r="AK97" s="80"/>
    </x:row>
    <x:row r="98">
      <x:c r="A98" s="80"/>
      <x:c r="B98" s="80"/>
      <x:c r="C98" s="80"/>
      <x:c r="D98" s="80"/>
      <x:c r="E98" s="80"/>
      <x:c r="F98" s="80"/>
      <x:c r="G98" s="80"/>
      <x:c r="H98" s="80"/>
      <x:c r="I98" s="80"/>
      <x:c r="J98" s="80"/>
      <x:c r="K98" s="80"/>
      <x:c r="L98" s="80"/>
      <x:c r="M98" s="80"/>
      <x:c r="N98" s="80"/>
      <x:c r="O98" s="80"/>
      <x:c r="P98" s="80"/>
      <x:c r="Q98" s="80"/>
      <x:c r="R98" s="80"/>
      <x:c r="S98" s="80"/>
      <x:c r="T98" s="80"/>
      <x:c r="U98" s="80"/>
      <x:c r="V98" s="80"/>
      <x:c r="W98" s="80"/>
      <x:c r="X98" s="80"/>
      <x:c r="Y98" s="80"/>
      <x:c r="Z98" s="80"/>
      <x:c r="AA98" s="80"/>
      <x:c r="AB98" s="80"/>
      <x:c r="AC98" s="80"/>
      <x:c r="AD98" s="80"/>
      <x:c r="AE98" s="80"/>
      <x:c r="AF98" s="80"/>
      <x:c r="AG98" s="80"/>
      <x:c r="AH98" s="80"/>
      <x:c r="AI98" s="80"/>
      <x:c r="AJ98" s="81"/>
      <x:c r="AK98" s="80"/>
    </x:row>
    <x:row r="99">
      <x:c r="A99" s="80"/>
      <x:c r="B99" s="80"/>
      <x:c r="C99" s="80"/>
      <x:c r="D99" s="80"/>
      <x:c r="E99" s="80"/>
      <x:c r="F99" s="80"/>
      <x:c r="G99" s="80"/>
      <x:c r="H99" s="80"/>
      <x:c r="I99" s="80"/>
      <x:c r="J99" s="80"/>
      <x:c r="K99" s="80"/>
      <x:c r="L99" s="80"/>
      <x:c r="M99" s="80"/>
      <x:c r="N99" s="80"/>
      <x:c r="O99" s="80"/>
      <x:c r="P99" s="80"/>
      <x:c r="Q99" s="80"/>
      <x:c r="R99" s="80"/>
      <x:c r="S99" s="80"/>
      <x:c r="T99" s="80"/>
      <x:c r="U99" s="80"/>
      <x:c r="V99" s="80"/>
      <x:c r="W99" s="80"/>
      <x:c r="X99" s="80"/>
      <x:c r="Y99" s="80"/>
      <x:c r="Z99" s="80"/>
      <x:c r="AA99" s="80"/>
      <x:c r="AB99" s="80"/>
      <x:c r="AC99" s="80"/>
      <x:c r="AD99" s="80"/>
      <x:c r="AE99" s="80"/>
      <x:c r="AF99" s="80"/>
      <x:c r="AG99" s="80"/>
      <x:c r="AH99" s="80"/>
      <x:c r="AI99" s="80"/>
      <x:c r="AJ99" s="81"/>
      <x:c r="AK99" s="80"/>
    </x:row>
    <x:row r="100">
      <x:c r="A100" s="80"/>
      <x:c r="B100" s="80"/>
      <x:c r="C100" s="80"/>
      <x:c r="D100" s="80"/>
      <x:c r="E100" s="80"/>
      <x:c r="F100" s="80"/>
      <x:c r="G100" s="80"/>
      <x:c r="H100" s="80"/>
      <x:c r="I100" s="80"/>
      <x:c r="J100" s="80"/>
      <x:c r="K100" s="80"/>
      <x:c r="L100" s="80"/>
      <x:c r="M100" s="80"/>
      <x:c r="N100" s="80"/>
      <x:c r="O100" s="80"/>
      <x:c r="P100" s="80"/>
      <x:c r="Q100" s="80"/>
      <x:c r="R100" s="80"/>
      <x:c r="S100" s="80"/>
      <x:c r="T100" s="80"/>
      <x:c r="U100" s="80"/>
      <x:c r="V100" s="80"/>
      <x:c r="W100" s="80"/>
      <x:c r="X100" s="80"/>
      <x:c r="Y100" s="80"/>
      <x:c r="Z100" s="80"/>
      <x:c r="AA100" s="80"/>
      <x:c r="AB100" s="80"/>
      <x:c r="AC100" s="80"/>
      <x:c r="AD100" s="80"/>
      <x:c r="AE100" s="80"/>
      <x:c r="AF100" s="80"/>
      <x:c r="AG100" s="80"/>
      <x:c r="AH100" s="80"/>
      <x:c r="AI100" s="80"/>
      <x:c r="AJ100" s="81"/>
      <x:c r="AK100" s="80"/>
    </x:row>
  </x:sheetData>
  <x:mergeCells>
    <x:mergeCell ref="A1:AK1"/>
    <x:mergeCell ref="A2:AK2"/>
  </x:mergeCells>
  <x:conditionalFormatting sqref="AJ5:AJ100">
    <x:cfRule type="dataBar" priority="1">
      <x:dataBar>
        <x:cfvo type="min"/>
        <x:cfvo type="max"/>
        <x:color rgb="FF1976D2"/>
      </x:dataBar>
      <x:extLst>
        <x:ext xmlns:x14="http://schemas.microsoft.com/office/spreadsheetml/2009/9/main" uri="{B025F937-C7B1-47D3-B67F-A62EFF666E3E}">
          <x14:id>{FAA86698-FE81-9FA6-E178-3CC68ED3BA53}</x14:id>
        </x:ext>
      </x:extLst>
    </x:cfRule>
  </x:conditionalFormatting>
  <x:conditionalFormatting sqref="AK5:AK100">
    <x:cfRule type="expression" dxfId="6" priority="2">
      <x:formula>AK5="OK"</x:formula>
    </x:cfRule>
    <x:cfRule type="expression" dxfId="7" priority="3">
      <x:formula>AK5="확인"</x:formula>
    </x:cfRule>
  </x:conditionalFormatting>
  <x:conditionalFormatting sqref="G5:Z100">
    <x:cfRule type="expression" dxfId="8" priority="4">
      <x:formula>G5=1</x:formula>
    </x:cfRule>
    <x:cfRule type="expression" dxfId="9" priority="5">
      <x:formula>G5=0</x:formula>
    </x:cfRule>
  </x:conditionalFormatting>
  <x:dataValidations count="4">
    <x:dataValidation type="list" sqref="A5:A100">
      <x:formula1>"physics1-basic,physics1-advanced,physics2-basic"</x:formula1>
    </x:dataValidation>
    <x:dataValidation type="list" sqref="B5:B100">
      <x:formula1>"physics1-basic-total-mechanics,physics1-basic-total-electromagnetism"</x:formula1>
    </x:dataValidation>
    <x:dataValidation type="list" sqref="G5:Z100">
      <x:formula1>"0,1"</x:formula1>
    </x:dataValidation>
    <x:dataValidation type="list" sqref="AA5:AE100">
      <x:formula1>"0,0.5,1,1.5,2,2.5,3,3.5,4"</x:formula1>
    </x:dataValidation>
  </x:dataValidations>
  <x:pageMargins left="0.7" right="0.7" top="0.75" bottom="0.75" header="0.3" footer="0.3"/>
  <x:tableParts count="1">
    <x:tablePart xmlns:r="http://schemas.openxmlformats.org/officeDocument/2006/relationships" r:id="Rfea848eff3d546c1"/>
  </x:tableParts>
  <x:extLst>
    <x:ext xmlns:x14="http://schemas.microsoft.com/office/spreadsheetml/2009/9/main" xmlns:xm="http://schemas.microsoft.com/office/excel/2006/main" uri="{78C0D931-6437-407d-A8EE-F0AAD7539E65}">
      <x14:conditionalFormattings>
        <x14:conditionalFormatting>
          <x14:cfRule type="dataBar" priority="1" id="{FAA86698-FE81-9FA6-E178-3CC68ED3BA53}">
            <x14:dataBar gradient="1">
              <x14:cfvo type="min"/>
              <x14:cfvo type="max"/>
              <x14:fillColor rgb="FF1976D2"/>
            </x14:dataBar>
          </x14:cfRule>
          <xm:sqref>AJ5:AJ100</xm:sqref>
        </x14:conditionalFormatting>
      </x14:conditionalFormattings>
    </x:ext>
  </x:extLst>
</x:worksheet>
</file>

<file path=xl/worksheets/sheet7.xml><?xml version="1.0" encoding="utf-8"?>
<x:worksheet xmlns:x="http://schemas.openxmlformats.org/spreadsheetml/2006/main">
  <x:sheetFormatPr defaultRowHeight="15"/>
  <x:cols>
    <x:col min="1" max="1" width="24" hidden="0" customWidth="1"/>
    <x:col min="2" max="2" width="38" hidden="0" customWidth="1"/>
    <x:col min="3" max="3" width="30" hidden="0" customWidth="1"/>
    <x:col min="4" max="4" width="16" hidden="0" customWidth="1"/>
    <x:col min="5" max="5" width="34" hidden="0" customWidth="1"/>
    <x:col min="6" max="6" width="70" hidden="0" customWidth="1"/>
    <x:col min="7" max="7" width="42" hidden="0" customWidth="1"/>
  </x:cols>
  <x:sheetData>
    <x:row r="1" ht="38" customHeight="1">
      <x:c r="A1" s="5" t="str">
        <x:v>총괄평가 ↔ 주간 복습 결과 연결 정책</x:v>
      </x:c>
      <x:c r="B1" s="5"/>
      <x:c r="C1" s="5"/>
      <x:c r="D1" s="5"/>
      <x:c r="E1" s="5"/>
      <x:c r="F1" s="5"/>
      <x:c r="G1" s="5"/>
    </x:row>
    <x:row r="2" ht="34" customHeight="1">
      <x:c r="A2" s="13" t="str">
        <x:v>같은 courseId·학교·이름의 학생만 아래 historyExamIds 범위에서 연결합니다.</x:v>
      </x:c>
      <x:c r="B2" s="13"/>
      <x:c r="C2" s="13"/>
      <x:c r="D2" s="13"/>
      <x:c r="E2" s="13"/>
      <x:c r="F2" s="13"/>
      <x:c r="G2" s="13"/>
    </x:row>
    <x:row r="4" ht="28" customHeight="1">
      <x:c r="A4" s="25" t="str">
        <x:v>CourseId</x:v>
      </x:c>
      <x:c r="B4" s="47" t="str">
        <x:v>TotalExamId</x:v>
      </x:c>
      <x:c r="C4" s="47" t="str">
        <x:v>총괄평가</x:v>
      </x:c>
      <x:c r="D4" s="47" t="str">
        <x:v>상태</x:v>
      </x:c>
      <x:c r="E4" s="47" t="str">
        <x:v>연결 범위</x:v>
      </x:c>
      <x:c r="F4" s="47" t="str">
        <x:v>HistoryExamIds</x:v>
      </x:c>
      <x:c r="G4" s="26" t="str">
        <x:v>학생 일치 기준</x:v>
      </x:c>
    </x:row>
    <x:row r="5">
      <x:c r="A5" s="56" t="str">
        <x:v>physics1-basic</x:v>
      </x:c>
      <x:c r="B5" s="56" t="str">
        <x:v>physics1-basic-total-mechanics</x:v>
      </x:c>
      <x:c r="C5" s="56" t="str">
        <x:v>물리1 역학 총괄평가</x:v>
      </x:c>
      <x:c r="D5" s="56" t="str">
        <x:v>ready</x:v>
      </x:c>
      <x:c r="E5" s="56" t="str">
        <x:v>물리1 2~8회 복습 테스트</x:v>
      </x:c>
      <x:c r="F5" s="56" t="str">
        <x:v>physics1-basic-r02, physics1-basic-r03, physics1-basic-r04, physics1-basic-r05, physics1-basic-r06, physics1-basic-r07, physics1-basic-r08</x:v>
      </x:c>
      <x:c r="G5" s="56" t="str">
        <x:v>courseId + normalizedSchool + normalizedName</x:v>
      </x:c>
    </x:row>
    <x:row r="6">
      <x:c r="A6" s="56" t="str">
        <x:v>physics1-basic</x:v>
      </x:c>
      <x:c r="B6" s="56" t="str">
        <x:v>physics1-basic-total-electromagnetism</x:v>
      </x:c>
      <x:c r="C6" s="56" t="str">
        <x:v>물리1 전자기·파동 총괄평가</x:v>
      </x:c>
      <x:c r="D6" s="56" t="str">
        <x:v>ready</x:v>
      </x:c>
      <x:c r="E6" s="56" t="str">
        <x:v>물리1 10~16회 복습 테스트</x:v>
      </x:c>
      <x:c r="F6" s="56" t="str">
        <x:v>physics1-basic-r10, physics1-basic-r11, physics1-basic-r12, physics1-basic-r13, physics1-basic-r14, physics1-basic-r15, physics1-basic-r16</x:v>
      </x:c>
      <x:c r="G6" s="56" t="str">
        <x:v>courseId + normalizedSchool + normalizedName</x:v>
      </x:c>
    </x:row>
    <x:row r="7">
      <x:c r="A7" s="56" t="str">
        <x:v>physics2-basic</x:v>
      </x:c>
      <x:c r="B7" s="56" t="str">
        <x:v>physics2-basic-total-mechanics</x:v>
      </x:c>
      <x:c r="C7" s="56" t="str">
        <x:v>물리2 역학 총괄평가</x:v>
      </x:c>
      <x:c r="D7" s="56" t="str">
        <x:v>coming-soon</x:v>
      </x:c>
      <x:c r="E7" s="56" t="str">
        <x:v>물리2 2~9회 복습 테스트</x:v>
      </x:c>
      <x:c r="F7" s="56" t="str">
        <x:v>physics2-basic-r02, physics2-basic-r03, physics2-basic-r04, physics2-basic-r05, physics2-basic-r06, physics2-basic-r07, physics2-basic-r08, physics2-basic-r09</x:v>
      </x:c>
      <x:c r="G7" s="56" t="str">
        <x:v>courseId + normalizedSchool + normalizedName</x:v>
      </x:c>
    </x:row>
    <x:row r="8">
      <x:c r="A8" s="56" t="str">
        <x:v>physics2-basic</x:v>
      </x:c>
      <x:c r="B8" s="56" t="str">
        <x:v>physics2-basic-total-electromagnetism</x:v>
      </x:c>
      <x:c r="C8" s="56" t="str">
        <x:v>물리2 전자기·파동 총괄평가</x:v>
      </x:c>
      <x:c r="D8" s="56" t="str">
        <x:v>coming-soon</x:v>
      </x:c>
      <x:c r="E8" s="56" t="str">
        <x:v>물리2 11~15회 복습 테스트</x:v>
      </x:c>
      <x:c r="F8" s="56" t="str">
        <x:v>physics2-basic-r11, physics2-basic-r12, physics2-basic-r13, physics2-basic-r14, physics2-basic-r15</x:v>
      </x:c>
      <x:c r="G8" s="56" t="str">
        <x:v>courseId + normalizedSchool + normalizedName</x:v>
      </x:c>
    </x:row>
    <x:row r="9">
      <x:c r="A9" s="56" t="str">
        <x:v>physics1-advanced</x:v>
      </x:c>
      <x:c r="B9" s="56" t="str">
        <x:v>physics1-advanced-total</x:v>
      </x:c>
      <x:c r="C9" s="56" t="str">
        <x:v>물리1심화 총괄평가</x:v>
      </x:c>
      <x:c r="D9" s="56" t="str">
        <x:v>coming-soon</x:v>
      </x:c>
      <x:c r="E9" s="56" t="str">
        <x:v>물리1심화 2~7회 복습 테스트</x:v>
      </x:c>
      <x:c r="F9" s="56" t="str">
        <x:v>physics1-advanced-r02, physics1-advanced-r03, physics1-advanced-r04, physics1-advanced-r05, physics1-advanced-r06, physics1-advanced-r07</x:v>
      </x:c>
      <x:c r="G9" s="56" t="str">
        <x:v>courseId + normalizedSchool + normalizedName</x:v>
      </x:c>
    </x:row>
  </x:sheetData>
  <x:mergeCells>
    <x:mergeCell ref="A1:G1"/>
    <x:mergeCell ref="A2:G2"/>
  </x:mergeCells>
  <x:conditionalFormatting sqref="D5:D9">
    <x:cfRule type="expression" dxfId="10" priority="1">
      <x:formula>D5="ready"</x:formula>
    </x:cfRule>
    <x:cfRule type="expression" dxfId="11" priority="2">
      <x:formula>D5="coming-soon"</x:formula>
    </x:cfRule>
  </x:conditionalFormatting>
  <x:pageMargins left="0.7" right="0.7" top="0.75" bottom="0.75" header="0.3" footer="0.3"/>
  <x:tableParts count="1">
    <x:tablePart xmlns:r="http://schemas.openxmlformats.org/officeDocument/2006/relationships" r:id="Rc69588ecaed141d1"/>
  </x:tableParts>
</x:worksheet>
</file>