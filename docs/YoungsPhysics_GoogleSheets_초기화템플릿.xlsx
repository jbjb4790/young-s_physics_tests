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4c6e38c5b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4b33395776d4a20"/>
    <x:sheet xmlns:r="http://schemas.openxmlformats.org/officeDocument/2006/relationships" name="Courses" sheetId="2" r:id="R3b0126516beb4b9a"/>
    <x:sheet xmlns:r="http://schemas.openxmlformats.org/officeDocument/2006/relationships" name="Exams" sheetId="3" r:id="Raaa68203639448db"/>
    <x:sheet xmlns:r="http://schemas.openxmlformats.org/officeDocument/2006/relationships" name="Questions" sheetId="4" r:id="R987bae5ac0984a65"/>
    <x:sheet xmlns:r="http://schemas.openxmlformats.org/officeDocument/2006/relationships" name="Reports" sheetId="5" r:id="R108d961945a141f2"/>
    <x:sheet xmlns:r="http://schemas.openxmlformats.org/officeDocument/2006/relationships" name="요약" sheetId="6" r:id="Ra7edbfd1e414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C2B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B50"/>
      </x:patternFill>
    </x:fill>
    <x:fill>
      <x:patternFill patternType="solid">
        <x:fgColor rgb="FFEAF4FF"/>
      </x:patternFill>
    </x:fill>
    <x:fill>
      <x:patternFill patternType="solid">
        <x:fgColor rgb="FF1976D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  <x:color rgb="FF17864B"/>
      </x:font>
      <x:fill>
        <x:patternFill patternType="solid">
          <x:bgColor rgb="FFE9F8EF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b/>
        <x:color rgb="FFD9780D"/>
      </x:font>
      <x:fill>
        <x:patternFill patternType="solid">
          <x:bgColor rgb="FFFFF3DF"/>
        </x:patternFill>
      </x:fill>
    </x:dxf>
    <x:dxf>
      <x:font>
        <x:color rgb="FF17864B"/>
      </x:font>
      <x:fill>
        <x:patternFill patternType="solid">
          <x:bgColor rgb="FFE9F8EF"/>
        </x:patternFill>
      </x:fill>
    </x:dxf>
    <x:dxf>
      <x:font>
        <x:color rgb="FF1976D2"/>
      </x:font>
      <x:fill>
        <x:patternFill patternType="solid">
          <x:bgColor rgb="FFEAF4FF"/>
        </x:patternFill>
      </x:fill>
    </x:dxf>
    <x:dxf>
      <x:font>
        <x:b/>
        <x:color rgb="FFC53030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f2fb3bad94978" /><Relationship Type="http://schemas.openxmlformats.org/officeDocument/2006/relationships/theme" Target="/xl/theme/theme1.xml" Id="Ra1b3fc06ca4c403f" /><Relationship Type="http://schemas.microsoft.com/office/2022/11/relationships/FeaturePropertyBag" Target="/xl/featurePropertyBag/featurePropertyBag.xml" Id="Rfbe0182816fc450d" /><Relationship Type="http://schemas.openxmlformats.org/officeDocument/2006/relationships/sharedStrings" Target="/xl/sharedStrings.xml" Id="Re12c99dba9ac435a" /><Relationship Type="http://schemas.openxmlformats.org/officeDocument/2006/relationships/worksheet" Target="/xl/worksheets/sheet1.xml" Id="Re4b33395776d4a20" /><Relationship Type="http://schemas.openxmlformats.org/officeDocument/2006/relationships/worksheet" Target="/xl/worksheets/sheet2.xml" Id="R3b0126516beb4b9a" /><Relationship Type="http://schemas.openxmlformats.org/officeDocument/2006/relationships/worksheet" Target="/xl/worksheets/sheet3.xml" Id="Raaa68203639448db" /><Relationship Type="http://schemas.openxmlformats.org/officeDocument/2006/relationships/worksheet" Target="/xl/worksheets/sheet4.xml" Id="R987bae5ac0984a65" /><Relationship Type="http://schemas.openxmlformats.org/officeDocument/2006/relationships/worksheet" Target="/xl/worksheets/sheet5.xml" Id="R108d961945a141f2" /><Relationship Type="http://schemas.openxmlformats.org/officeDocument/2006/relationships/worksheet" Target="/xl/worksheets/sheet6.xml" Id="Ra7edbfd1e41441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1e466d89f848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운영 준비 현황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회차 수</c:v>
          </c:tx>
          <c:cat>
            <c:strRef>
              <c:f>'요약'!$D$5:$D$7</c:f>
              <c:strCache>
                <c:ptCount val="0"/>
              </c:strCache>
            </c:strRef>
          </c:cat>
          <c:val>
            <c:numRef>
              <c:f>'요약'!$E$5:$E$7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1e466d89f8482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rsesTable" displayName="CoursesTable" ref="A4:C7" headerRowCount="1" totalsRowCount="0" totalsRowShown="0">
  <x:tableColumns count="3">
    <x:tableColumn id="1" name="CourseId"/>
    <x:tableColumn id="2" name="CourseName"/>
    <x:tableColumn id="3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sTable" displayName="ExamsTable" ref="A4:P38" headerRowCount="1" totalsRowCount="0" totalsRowShown="0">
  <x:tableColumns count="16">
    <x:tableColumn id="1" name="ExamId"/>
    <x:tableColumn id="2" name="CourseId"/>
    <x:tableColumn id="3" name="Round"/>
    <x:tableColumn id="4" name="Title"/>
    <x:tableColumn id="5" name="ExamDate"/>
    <x:tableColumn id="6" name="QuestionCount"/>
    <x:tableColumn id="7" name="MaxScore"/>
    <x:tableColumn id="8" name="ExamPDF"/>
    <x:tableColumn id="9" name="SolutionPDF"/>
    <x:tableColumn id="10" name="ReviewStatus"/>
    <x:tableColumn id="11" name="ConfigVersion"/>
    <x:tableColumn id="12" name="Status"/>
    <x:tableColumn id="13" name="PagesJSON"/>
    <x:tableColumn id="14" name="CoreNoteJSON"/>
    <x:tableColumn id="15" name="SourceTitle"/>
    <x:tableColumn id="16" name="Source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sTable" displayName="QuestionsTable" ref="A4:N62" headerRowCount="1" totalsRowCount="0" totalsRowShown="0">
  <x:tableColumns count="14">
    <x:tableColumn id="1" name="ExamId"/>
    <x:tableColumn id="2" name="QuestionNo"/>
    <x:tableColumn id="3" name="Type"/>
    <x:tableColumn id="4" name="MaxPoints"/>
    <x:tableColumn id="5" name="Unit"/>
    <x:tableColumn id="6" name="Topic"/>
    <x:tableColumn id="7" name="Difficulty"/>
    <x:tableColumn id="8" name="AnswerJSON"/>
    <x:tableColumn id="9" name="RubricJSON"/>
    <x:tableColumn id="10" name="ExplanationJSON"/>
    <x:tableColumn id="11" name="SimilarProblemJSON"/>
    <x:tableColumn id="12" name="ReviewStatus"/>
    <x:tableColumn id="13" name="CorrectionNote"/>
    <x:tableColumn id="14" name="Image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d6d3eb490b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b25c196d8b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9523f559b7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8414fc4b2a548e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5" t="str">
        <x:v>Young's Physics 주간 복습 테스트 - Google Sheets 초기화 템플릿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새 Spreadsheet에 이 파일의 Courses, Exams, Questions 헤더와 데이터를 복사하고 Reports는 헤더만 유지하세요.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항목</x:v>
      </x:c>
      <x:c r="B4" s="20" t="str">
        <x:v>내용</x:v>
      </x:c>
    </x:row>
    <x:row r="5">
      <x:c r="A5" s="26" t="str">
        <x:v>운영 회차</x:v>
      </x:c>
      <x:c r="B5" s="26" t="str">
        <x:v>총 34개: 물리1 2~8·10~16, 물리1심화 1~6, 물리2 1~9·11~15</x:v>
      </x:c>
    </x:row>
    <x:row r="6">
      <x:c r="A6" s="26" t="str">
        <x:v>현재 준비 완료</x:v>
      </x:c>
      <x:c r="B6" s="26" t="str">
        <x:v>물리1 2~8회</x:v>
      </x:c>
    </x:row>
    <x:row r="7">
      <x:c r="A7" s="26" t="str">
        <x:v>제외 회차</x:v>
      </x:c>
      <x:c r="B7" s="26" t="str">
        <x:v>물리1 1회·9회, 물리2 10회</x:v>
      </x:c>
    </x:row>
    <x:row r="8">
      <x:c r="A8" s="26" t="str">
        <x:v>점수 규칙</x:v>
      </x:c>
      <x:c r="B8" s="26" t="str">
        <x:v>0=0점, 1=문항 만점, P1=정확히 1점 부분점수, 기타 숫자=부분점수</x:v>
      </x:c>
    </x:row>
    <x:row r="9">
      <x:c r="A9" s="26" t="str">
        <x:v>원본 저장</x:v>
      </x:c>
      <x:c r="B9" s="26" t="str">
        <x:v>Reports 시트. 실제 운영은 Apps Script를 통해서만 쓰기 권장</x:v>
      </x:c>
    </x:row>
    <x:row r="10">
      <x:c r="A10" s="26" t="str">
        <x:v>보안</x:v>
      </x:c>
      <x:c r="B10" s="26" t="str">
        <x:v>WRITE_KEY·FINGERPRINT_SECRET·학생 토큰은 공개 GitHub에 저장 금지</x:v>
      </x:c>
    </x:row>
    <x:row r="11">
      <x:c r="A11" s="26" t="str">
        <x:v>주의</x:v>
      </x:c>
      <x:c r="B11" s="26" t="str">
        <x:v>3회 7번 및 5회 6번은 교사 확인 전 자동 공개 보류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2" hidden="0" customWidth="1"/>
  </x:cols>
  <x:sheetData>
    <x:row r="1" ht="34" customHeight="1">
      <x:c r="A1" s="5" t="str">
        <x:v>Courses</x:v>
      </x:c>
      <x:c r="B1" s="5"/>
      <x:c r="C1" s="5"/>
    </x:row>
    <x:row r="2" ht="30" customHeight="1">
      <x:c r="A2" s="13" t="str">
        <x:v>과정 기본 정보. CourseId는 코드와 Google Sheets에서 동일해야 합니다.</x:v>
      </x:c>
      <x:c r="B2" s="13"/>
      <x:c r="C2" s="13"/>
    </x:row>
    <x:row r="4">
      <x:c r="A4" s="20" t="str">
        <x:v>CourseId</x:v>
      </x:c>
      <x:c r="B4" s="20" t="str">
        <x:v>CourseName</x:v>
      </x:c>
      <x:c r="C4" s="20" t="str">
        <x:v>Active</x:v>
      </x:c>
    </x:row>
    <x:row r="5">
      <x:c r="A5" s="24" t="str">
        <x:v>physics1-basic</x:v>
      </x:c>
      <x:c r="B5" s="24" t="str">
        <x:v>물리1</x:v>
      </x:c>
      <x:c r="C5" s="31" t="b">
        <x:v>1</x:v>
      </x:c>
    </x:row>
    <x:row r="6">
      <x:c r="A6" s="24" t="str">
        <x:v>physics1-advanced</x:v>
      </x:c>
      <x:c r="B6" s="24" t="str">
        <x:v>물리1심화</x:v>
      </x:c>
      <x:c r="C6" s="31" t="b">
        <x:v>1</x:v>
      </x:c>
    </x:row>
    <x:row r="7">
      <x:c r="A7" s="24" t="str">
        <x:v>physics2-basic</x:v>
      </x:c>
      <x:c r="B7" s="24" t="str">
        <x:v>물리2</x:v>
      </x:c>
      <x:c r="C7" s="31" t="b">
        <x:v>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1d6d3eb490b47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8" hidden="0" customWidth="1"/>
    <x:col min="4" max="4" width="28" hidden="0" customWidth="1"/>
    <x:col min="5" max="5" width="12" hidden="0" customWidth="1"/>
    <x:col min="6" max="6" width="12" hidden="0" customWidth="1"/>
    <x:col min="7" max="7" width="10" hidden="0" customWidth="1"/>
    <x:col min="8" max="8" width="34" hidden="0" customWidth="1"/>
    <x:col min="9" max="9" width="24" hidden="0" customWidth="1"/>
    <x:col min="10" max="10" width="15" hidden="0" customWidth="1"/>
    <x:col min="11" max="11" width="18" hidden="0" customWidth="1"/>
    <x:col min="12" max="12" width="14" hidden="0" customWidth="1"/>
    <x:col min="13" max="13" width="26" hidden="0" customWidth="1"/>
    <x:col min="14" max="14" width="55" hidden="0" customWidth="1"/>
    <x:col min="15" max="15" width="26" hidden="0" customWidth="1"/>
    <x:col min="16" max="16" width="55" hidden="0" customWidth="1"/>
  </x:cols>
  <x:sheetData>
    <x:row r="1" ht="34" customHeight="1">
      <x:c r="A1" s="5" t="str">
        <x:v>Exams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3" t="str">
        <x:v>운영 회차 34개. 물리1 1회·9회, 물리2 10회는 행 자체가 없습니다.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33" t="str">
        <x:v>ExamId</x:v>
      </x:c>
      <x:c r="B4" s="33" t="str">
        <x:v>CourseId</x:v>
      </x:c>
      <x:c r="C4" s="33" t="str">
        <x:v>Round</x:v>
      </x:c>
      <x:c r="D4" s="33" t="str">
        <x:v>Title</x:v>
      </x:c>
      <x:c r="E4" s="33" t="str">
        <x:v>ExamDate</x:v>
      </x:c>
      <x:c r="F4" s="33" t="str">
        <x:v>QuestionCount</x:v>
      </x:c>
      <x:c r="G4" s="33" t="str">
        <x:v>MaxScore</x:v>
      </x:c>
      <x:c r="H4" s="33" t="str">
        <x:v>ExamPDF</x:v>
      </x:c>
      <x:c r="I4" s="33" t="str">
        <x:v>SolutionPDF</x:v>
      </x:c>
      <x:c r="J4" s="33" t="str">
        <x:v>ReviewStatus</x:v>
      </x:c>
      <x:c r="K4" s="33" t="str">
        <x:v>ConfigVersion</x:v>
      </x:c>
      <x:c r="L4" s="33" t="str">
        <x:v>Status</x:v>
      </x:c>
      <x:c r="M4" s="33" t="str">
        <x:v>PagesJSON</x:v>
      </x:c>
      <x:c r="N4" s="33" t="str">
        <x:v>CoreNoteJSON</x:v>
      </x:c>
      <x:c r="O4" s="33" t="str">
        <x:v>SourceTitle</x:v>
      </x:c>
      <x:c r="P4" s="33" t="str">
        <x:v>SourceNote</x:v>
      </x:c>
    </x:row>
    <x:row r="5">
      <x:c r="A5" s="26" t="str">
        <x:v>physics1-advanced-r01</x:v>
      </x:c>
      <x:c r="B5" s="26" t="str">
        <x:v>physics1-advanced</x:v>
      </x:c>
      <x:c r="C5" s="26" t="n">
        <x:v>1</x:v>
      </x:c>
      <x:c r="D5" s="26" t="str">
        <x:v>물리1심화 1회차 복습 테스트</x:v>
      </x:c>
      <x:c r="E5" s="26" t="str"/>
      <x:c r="F5" s="26" t="n">
        <x:v>0</x:v>
      </x:c>
      <x:c r="G5" s="26" t="n">
        <x:v>0</x:v>
      </x:c>
      <x:c r="H5" s="26" t="str"/>
      <x:c r="I5" s="26" t="str"/>
      <x:c r="J5" s="26" t="str">
        <x:v>not-uploaded</x:v>
      </x:c>
      <x:c r="K5" s="26" t="str">
        <x:v>2026.08.10-1</x:v>
      </x:c>
      <x:c r="L5" s="26" t="str">
        <x:v>coming-soon</x:v>
      </x:c>
      <x:c r="M5" s="26" t="str">
        <x:v>[]</x:v>
      </x:c>
      <x:c r="N5" s="26" t="str">
        <x:v>{}</x:v>
      </x:c>
      <x:c r="O5" s="26" t="str"/>
      <x:c r="P5" s="26" t="str"/>
    </x:row>
    <x:row r="6">
      <x:c r="A6" s="26" t="str">
        <x:v>physics1-advanced-r02</x:v>
      </x:c>
      <x:c r="B6" s="26" t="str">
        <x:v>physics1-advanced</x:v>
      </x:c>
      <x:c r="C6" s="26" t="n">
        <x:v>2</x:v>
      </x:c>
      <x:c r="D6" s="26" t="str">
        <x:v>물리1심화 2회차 복습 테스트</x:v>
      </x:c>
      <x:c r="E6" s="26" t="str"/>
      <x:c r="F6" s="26" t="n">
        <x:v>0</x:v>
      </x:c>
      <x:c r="G6" s="26" t="n">
        <x:v>0</x:v>
      </x:c>
      <x:c r="H6" s="26" t="str"/>
      <x:c r="I6" s="26" t="str"/>
      <x:c r="J6" s="26" t="str">
        <x:v>not-uploaded</x:v>
      </x:c>
      <x:c r="K6" s="26" t="str">
        <x:v>2026.08.10-1</x:v>
      </x:c>
      <x:c r="L6" s="26" t="str">
        <x:v>coming-soon</x:v>
      </x:c>
      <x:c r="M6" s="26" t="str">
        <x:v>[]</x:v>
      </x:c>
      <x:c r="N6" s="26" t="str">
        <x:v>{}</x:v>
      </x:c>
      <x:c r="O6" s="26" t="str"/>
      <x:c r="P6" s="26" t="str"/>
    </x:row>
    <x:row r="7">
      <x:c r="A7" s="26" t="str">
        <x:v>physics1-advanced-r03</x:v>
      </x:c>
      <x:c r="B7" s="26" t="str">
        <x:v>physics1-advanced</x:v>
      </x:c>
      <x:c r="C7" s="26" t="n">
        <x:v>3</x:v>
      </x:c>
      <x:c r="D7" s="26" t="str">
        <x:v>물리1심화 3회차 복습 테스트</x:v>
      </x:c>
      <x:c r="E7" s="26" t="str"/>
      <x:c r="F7" s="26" t="n">
        <x:v>0</x:v>
      </x:c>
      <x:c r="G7" s="26" t="n">
        <x:v>0</x:v>
      </x:c>
      <x:c r="H7" s="26" t="str"/>
      <x:c r="I7" s="26" t="str"/>
      <x:c r="J7" s="26" t="str">
        <x:v>not-uploaded</x:v>
      </x:c>
      <x:c r="K7" s="26" t="str">
        <x:v>2026.08.10-1</x:v>
      </x:c>
      <x:c r="L7" s="26" t="str">
        <x:v>coming-soon</x:v>
      </x:c>
      <x:c r="M7" s="26" t="str">
        <x:v>[]</x:v>
      </x:c>
      <x:c r="N7" s="26" t="str">
        <x:v>{}</x:v>
      </x:c>
      <x:c r="O7" s="26" t="str"/>
      <x:c r="P7" s="26" t="str"/>
    </x:row>
    <x:row r="8">
      <x:c r="A8" s="26" t="str">
        <x:v>physics1-advanced-r04</x:v>
      </x:c>
      <x:c r="B8" s="26" t="str">
        <x:v>physics1-advanced</x:v>
      </x:c>
      <x:c r="C8" s="26" t="n">
        <x:v>4</x:v>
      </x:c>
      <x:c r="D8" s="26" t="str">
        <x:v>물리1심화 4회차 복습 테스트</x:v>
      </x:c>
      <x:c r="E8" s="26" t="str"/>
      <x:c r="F8" s="26" t="n">
        <x:v>0</x:v>
      </x:c>
      <x:c r="G8" s="26" t="n">
        <x:v>0</x:v>
      </x:c>
      <x:c r="H8" s="26" t="str"/>
      <x:c r="I8" s="26" t="str"/>
      <x:c r="J8" s="26" t="str">
        <x:v>not-uploaded</x:v>
      </x:c>
      <x:c r="K8" s="26" t="str">
        <x:v>2026.08.10-1</x:v>
      </x:c>
      <x:c r="L8" s="26" t="str">
        <x:v>coming-soon</x:v>
      </x:c>
      <x:c r="M8" s="26" t="str">
        <x:v>[]</x:v>
      </x:c>
      <x:c r="N8" s="26" t="str">
        <x:v>{}</x:v>
      </x:c>
      <x:c r="O8" s="26" t="str"/>
      <x:c r="P8" s="26" t="str"/>
    </x:row>
    <x:row r="9">
      <x:c r="A9" s="26" t="str">
        <x:v>physics1-advanced-r05</x:v>
      </x:c>
      <x:c r="B9" s="26" t="str">
        <x:v>physics1-advanced</x:v>
      </x:c>
      <x:c r="C9" s="26" t="n">
        <x:v>5</x:v>
      </x:c>
      <x:c r="D9" s="26" t="str">
        <x:v>물리1심화 5회차 복습 테스트</x:v>
      </x:c>
      <x:c r="E9" s="26" t="str"/>
      <x:c r="F9" s="26" t="n">
        <x:v>0</x:v>
      </x:c>
      <x:c r="G9" s="26" t="n">
        <x:v>0</x:v>
      </x:c>
      <x:c r="H9" s="26" t="str"/>
      <x:c r="I9" s="26" t="str"/>
      <x:c r="J9" s="26" t="str">
        <x:v>not-uploaded</x:v>
      </x:c>
      <x:c r="K9" s="26" t="str">
        <x:v>2026.08.10-1</x:v>
      </x:c>
      <x:c r="L9" s="26" t="str">
        <x:v>coming-soon</x:v>
      </x:c>
      <x:c r="M9" s="26" t="str">
        <x:v>[]</x:v>
      </x:c>
      <x:c r="N9" s="26" t="str">
        <x:v>{}</x:v>
      </x:c>
      <x:c r="O9" s="26" t="str"/>
      <x:c r="P9" s="26" t="str"/>
    </x:row>
    <x:row r="10">
      <x:c r="A10" s="26" t="str">
        <x:v>physics1-advanced-r06</x:v>
      </x:c>
      <x:c r="B10" s="26" t="str">
        <x:v>physics1-advanced</x:v>
      </x:c>
      <x:c r="C10" s="26" t="n">
        <x:v>6</x:v>
      </x:c>
      <x:c r="D10" s="26" t="str">
        <x:v>물리1심화 6회차 복습 테스트</x:v>
      </x:c>
      <x:c r="E10" s="26" t="str"/>
      <x:c r="F10" s="26" t="n">
        <x:v>0</x:v>
      </x:c>
      <x:c r="G10" s="26" t="n">
        <x:v>0</x:v>
      </x:c>
      <x:c r="H10" s="26" t="str"/>
      <x:c r="I10" s="26" t="str"/>
      <x:c r="J10" s="26" t="str">
        <x:v>not-uploaded</x:v>
      </x:c>
      <x:c r="K10" s="26" t="str">
        <x:v>2026.08.10-1</x:v>
      </x:c>
      <x:c r="L10" s="26" t="str">
        <x:v>coming-soon</x:v>
      </x:c>
      <x:c r="M10" s="26" t="str">
        <x:v>[]</x:v>
      </x:c>
      <x:c r="N10" s="26" t="str">
        <x:v>{}</x:v>
      </x:c>
      <x:c r="O10" s="26" t="str"/>
      <x:c r="P10" s="26" t="str"/>
    </x:row>
    <x:row r="11">
      <x:c r="A11" s="26" t="str">
        <x:v>physics1-basic-r02</x:v>
      </x:c>
      <x:c r="B11" s="26" t="str">
        <x:v>physics1-basic</x:v>
      </x:c>
      <x:c r="C11" s="26" t="n">
        <x:v>2</x:v>
      </x:c>
      <x:c r="D11" s="26" t="str">
        <x:v>물리1 2회차 복습 테스트</x:v>
      </x:c>
      <x:c r="E11" s="26" t="str"/>
      <x:c r="F11" s="26" t="n">
        <x:v>8</x:v>
      </x:c>
      <x:c r="G11" s="26" t="n">
        <x:v>100</x:v>
      </x:c>
      <x:c r="H11" s="26" t="str">
        <x:v>assets/documents/physics1/r02.pdf</x:v>
      </x:c>
      <x:c r="I11" s="26" t="str"/>
      <x:c r="J11" s="26" t="str">
        <x:v>verified</x:v>
      </x:c>
      <x:c r="K11" s="26" t="str">
        <x:v>2026.08.10-1</x:v>
      </x:c>
      <x:c r="L11" s="26" t="str">
        <x:v>ready</x:v>
      </x:c>
      <x:c r="M11" s="26" t="str">
        <x:v>["assets/pages/physics1/r02-p1.png"]</x:v>
      </x:c>
      <x:c r="N11" s="26" t="str">
        <x:v>{"summary":"변위·이동 거리·속도·가속도를 그래프의 높이, 기울기, 넓이로 구분하는 회차","concepts":["s-t 그래프의 기울기는 속도","이동 거리 그래프의 기울기는 속력","방향 전환 시 속도는 0이지만 이동 거리는 감소하지 않음","평균 속력과 평균 속도의 분모는 같아도 분자가 다름"],"formulas":["v_avg=총 변위/총 시간","평균 속력=총 이동 거리/총 시간","a_avg=Δv/Δt","Δv=∫a dt, Δs=∫v dt"],"mistakes":["그래프 높이와 기울기를 혼동","왕복 평균 속력을 산술평균으로 계산","가속도 그래프 넓이를 곧바로 변위로 해석"],"checklist":["방향을 먼저 +/−로 정했는가?","이동 거리와 변위를 구분했는가?","그래프에서 묻는 양이 높이·기울기·넓이 중 무엇인지 확인했는가?"]}</x:v>
      </x:c>
      <x:c r="O11" s="26" t="str">
        <x:v>물리1 2회차 복습 테스트</x:v>
      </x:c>
      <x:c r="P11" s="26" t="str"/>
    </x:row>
    <x:row r="12">
      <x:c r="A12" s="26" t="str">
        <x:v>physics1-basic-r03</x:v>
      </x:c>
      <x:c r="B12" s="26" t="str">
        <x:v>physics1-basic</x:v>
      </x:c>
      <x:c r="C12" s="26" t="n">
        <x:v>3</x:v>
      </x:c>
      <x:c r="D12" s="26" t="str">
        <x:v>물리1 3회차 복습 테스트</x:v>
      </x:c>
      <x:c r="E12" s="26" t="str"/>
      <x:c r="F12" s="26" t="n">
        <x:v>7</x:v>
      </x:c>
      <x:c r="G12" s="26" t="n">
        <x:v>100</x:v>
      </x:c>
      <x:c r="H12" s="26" t="str">
        <x:v>assets/documents/physics1/r03-source-title-quiz02.pdf</x:v>
      </x:c>
      <x:c r="I12" s="26" t="str"/>
      <x:c r="J12" s="26" t="str">
        <x:v>needs-review</x:v>
      </x:c>
      <x:c r="K12" s="26" t="str">
        <x:v>2026.08.10-1</x:v>
      </x:c>
      <x:c r="L12" s="26" t="str">
        <x:v>ready</x:v>
      </x:c>
      <x:c r="M12" s="26" t="str">
        <x:v>["assets/pages/physics1/r03-p1.png"]</x:v>
      </x:c>
      <x:c r="N12" s="26" t="str">
        <x:v>{"summary":"속도 그래프의 평균량, 벡터 성분, 상대속도, 시간기록계와 등가속도 운동","concepts":["v-t 그래프의 넓이는 변위","벡터는 성분으로 계산","상대속도는 대상 속도-관찰자 속도","시간기록계의 구간 중심 시각을 이용한 가속도"],"formulas":["v_rel=v_object-v_observer","a=(v_f-v_i)/Δt","v²-v₀²=2as","x=v₀t+½at²"],"mistakes":["남풍·북풍의 '오는 방향'과 공기 이동 방향 혼동","타점 수와 시간 간격 수 혼동","s-t 개형만 보고 정확한 함수식을 단정"],"checklist":["벡터의 x,y 성분 부호를 썼는가?","50 Hz에서 1간격=0.02 s를 확인했는가?","방향 전환 시 v=0을 찾았는가?"]}</x:v>
      </x:c>
      <x:c r="O12" s="26" t="str">
        <x:v>물리1 Quiz(02)</x:v>
      </x:c>
      <x:c r="P12" s="26" t="str">
        <x:v>업로드된 7개 파일을 2~8회 순서로 적용. 원문 표지는 Quiz(02)로 되어 있어 3회차로 교정·매핑함.</x:v>
      </x:c>
    </x:row>
    <x:row r="13">
      <x:c r="A13" s="26" t="str">
        <x:v>physics1-basic-r04</x:v>
      </x:c>
      <x:c r="B13" s="26" t="str">
        <x:v>physics1-basic</x:v>
      </x:c>
      <x:c r="C13" s="26" t="n">
        <x:v>4</x:v>
      </x:c>
      <x:c r="D13" s="26" t="str">
        <x:v>물리1 4회차 복습 테스트</x:v>
      </x:c>
      <x:c r="E13" s="26" t="str"/>
      <x:c r="F13" s="26" t="n">
        <x:v>9</x:v>
      </x:c>
      <x:c r="G13" s="26" t="n">
        <x:v>100</x:v>
      </x:c>
      <x:c r="H13" s="26" t="str">
        <x:v>assets/documents/physics1/r04.pdf</x:v>
      </x:c>
      <x:c r="I13" s="26" t="str"/>
      <x:c r="J13" s="26" t="str">
        <x:v>corrected</x:v>
      </x:c>
      <x:c r="K13" s="26" t="str">
        <x:v>2026.08.10-1</x:v>
      </x:c>
      <x:c r="L13" s="26" t="str">
        <x:v>ready</x:v>
      </x:c>
      <x:c r="M13" s="26" t="str">
        <x:v>["assets/pages/physics1/r04-p1.png"]</x:v>
      </x:c>
      <x:c r="N13" s="26" t="str">
        <x:v>{"summary":"뉴턴 운동 법칙, 힘의 합성, 작용·반작용, 평형과 경사면","concepts":["등속운동이면 알짜힘 0","작용·반작용은 서로 다른 물체","평형 힘은 같은 물체에 작용","경사면에서는 중력을 평행·수직 성분으로 분해"],"formulas":["ΣF=ma","F_net=√(F_x²+F_y²)","mg∥=mgsinθ","mg⊥=mgcosθ"],"mistakes":["작용·반작용과 평형을 같은 개념으로 봄","각도의 기준선 확인 없이 sin·cos 선택","마찰 조건이 없는 문제를 그대로 수치화"],"checklist":["자유물체도를 그렸는가?","각 힘이 어느 물체에 작용하는지 썼는가?","수평·연직 또는 경사면 축으로 나눴는가?"]}</x:v>
      </x:c>
      <x:c r="O13" s="26" t="str">
        <x:v>물리1 4회차 복습 테스트</x:v>
      </x:c>
      <x:c r="P13" s="26" t="str"/>
    </x:row>
    <x:row r="14">
      <x:c r="A14" s="26" t="str">
        <x:v>physics1-basic-r05</x:v>
      </x:c>
      <x:c r="B14" s="26" t="str">
        <x:v>physics1-basic</x:v>
      </x:c>
      <x:c r="C14" s="26" t="n">
        <x:v>5</x:v>
      </x:c>
      <x:c r="D14" s="26" t="str">
        <x:v>물리1 5회차 중간평가</x:v>
      </x:c>
      <x:c r="E14" s="26" t="str"/>
      <x:c r="F14" s="26" t="n">
        <x:v>15</x:v>
      </x:c>
      <x:c r="G14" s="26" t="n">
        <x:v>100</x:v>
      </x:c>
      <x:c r="H14" s="26" t="str">
        <x:v>assets/documents/physics1/r05.pdf</x:v>
      </x:c>
      <x:c r="I14" s="26" t="str"/>
      <x:c r="J14" s="26" t="str">
        <x:v>needs-review</x:v>
      </x:c>
      <x:c r="K14" s="26" t="str">
        <x:v>2026.08.10-1</x:v>
      </x:c>
      <x:c r="L14" s="26" t="str">
        <x:v>ready</x:v>
      </x:c>
      <x:c r="M14" s="26" t="str">
        <x:v>["assets/pages/physics1/r05-p1.png","assets/pages/physics1/r05-p2.png"]</x:v>
      </x:c>
      <x:c r="N14" s="26" t="str">
        <x:v>{"summary":"정지·운동 마찰, 연결된 물체, 겉보기 무게와 누적 복습","concepts":["정지마찰력은 필요한 만큼 변함","움직이기 시작하면 운동마찰계수 사용","연결된 물체는 공통 가속도","엘리베이터 겉보기 무게는 속도보다 가속도 방향이 중요"],"formulas":["f_s,max=μ_sN","f_k=μ_kN","N=m(g+a_y)","a=ΣF/Σm"],"mistakes":["정지마찰력을 항상 최대값으로 사용","비스듬한 당김에서도 N=mg로 둠","도르래 문제에서 T=mg로 고정","추가 힘 방향이 없는 문항을 임의 해석"],"checklist":["정지 여부를 먼저 판정했는가?","전체 계와 개별 물체를 각각 분리했는가?","가속 구간의 부호를 그래프에서 읽었는가?"]}</x:v>
      </x:c>
      <x:c r="O14" s="26" t="str">
        <x:v>물리1 5회차 중간평가</x:v>
      </x:c>
      <x:c r="P14" s="26" t="str"/>
    </x:row>
    <x:row r="15">
      <x:c r="A15" s="26" t="str">
        <x:v>physics1-basic-r06</x:v>
      </x:c>
      <x:c r="B15" s="26" t="str">
        <x:v>physics1-basic</x:v>
      </x:c>
      <x:c r="C15" s="26" t="n">
        <x:v>6</x:v>
      </x:c>
      <x:c r="D15" s="26" t="str">
        <x:v>물리1 6회차 복습 테스트</x:v>
      </x:c>
      <x:c r="E15" s="26" t="str"/>
      <x:c r="F15" s="26" t="n">
        <x:v>6</x:v>
      </x:c>
      <x:c r="G15" s="26" t="n">
        <x:v>100</x:v>
      </x:c>
      <x:c r="H15" s="26" t="str">
        <x:v>assets/documents/physics1/r06.pdf</x:v>
      </x:c>
      <x:c r="I15" s="26" t="str"/>
      <x:c r="J15" s="26" t="str">
        <x:v>corrected</x:v>
      </x:c>
      <x:c r="K15" s="26" t="str">
        <x:v>2026.08.10-1</x:v>
      </x:c>
      <x:c r="L15" s="26" t="str">
        <x:v>ready</x:v>
      </x:c>
      <x:c r="M15" s="26" t="str">
        <x:v>["assets/pages/physics1/r06-p1.png"]</x:v>
      </x:c>
      <x:c r="N15" s="26" t="str">
        <x:v>{"summary":"운동량 보존, 충격량, 평균 충격력과 탄성 충돌","concepts":["충돌 전후 전체 운동량 보존","충격량은 운동량 변화량","힘-시간 그래프 넓이는 충격량","충돌 시간을 늘리면 같은 충격량에서 평균힘 감소"],"formulas":["Σp_i=Σp_f","I=Δp=∫Fdt","F_avg=I/Δt","K=½mv²"],"mistakes":["반대 방향 속도 부호 누락","속력만 비교해 충격량 0으로 계산","삼각형 F-t 넓이에서 1/2 누락"],"checklist":["양의 방향을 표시했는가?","kg·m/s와 N·s가 같은 단위임을 확인했는가?","탄성 여부를 운동에너지로 검증했는가?"]}</x:v>
      </x:c>
      <x:c r="O15" s="26" t="str">
        <x:v>물리1 6회차 복습 테스트</x:v>
      </x:c>
      <x:c r="P15" s="26" t="str"/>
    </x:row>
    <x:row r="16">
      <x:c r="A16" s="26" t="str">
        <x:v>physics1-basic-r07</x:v>
      </x:c>
      <x:c r="B16" s="26" t="str">
        <x:v>physics1-basic</x:v>
      </x:c>
      <x:c r="C16" s="26" t="n">
        <x:v>7</x:v>
      </x:c>
      <x:c r="D16" s="26" t="str">
        <x:v>물리1 7회차 복습 테스트</x:v>
      </x:c>
      <x:c r="E16" s="26" t="str"/>
      <x:c r="F16" s="26" t="n">
        <x:v>7</x:v>
      </x:c>
      <x:c r="G16" s="26" t="n">
        <x:v>100</x:v>
      </x:c>
      <x:c r="H16" s="26" t="str">
        <x:v>assets/documents/physics1/r07.pdf</x:v>
      </x:c>
      <x:c r="I16" s="26" t="str"/>
      <x:c r="J16" s="26" t="str">
        <x:v>corrected</x:v>
      </x:c>
      <x:c r="K16" s="26" t="str">
        <x:v>2026.08.10-1</x:v>
      </x:c>
      <x:c r="L16" s="26" t="str">
        <x:v>ready</x:v>
      </x:c>
      <x:c r="M16" s="26" t="str">
        <x:v>["assets/pages/physics1/r07-p1.png"]</x:v>
      </x:c>
      <x:c r="N16" s="26" t="str">
        <x:v>{"summary":"반발계수와 운동에너지, 힘-거리 그래프, 일률과 마찰이 있는 일","concepts":["반발계수는 분리 상대속도/접근 상대속도","F-s 그래프 넓이는 일","알짜일은 운동에너지 변화","일률은 단위 시간당 에너지 전달"],"formulas":["e=(v₂-v₁)/(u₁-u₂)","W=∫Fds=ΔK","P=ΔE/Δt=ṁgh","W_f=-μNd"],"mistakes":["에너지비를 속력비로 그대로 사용","비스듬한 힘에서 수직항력 변화를 무시","컨베이어 물체 개수만 세어 경계 문제 발생"],"checklist":["일의 부호와 cosθ를 확인했는가?","초기 운동에너지가 0인지 확인했는가?","질량 유량 방식으로 일률을 재검산했는가?"]}</x:v>
      </x:c>
      <x:c r="O16" s="26" t="str">
        <x:v>물리1 7회차 복습 테스트</x:v>
      </x:c>
      <x:c r="P16" s="26" t="str"/>
    </x:row>
    <x:row r="17">
      <x:c r="A17" s="26" t="str">
        <x:v>physics1-basic-r08</x:v>
      </x:c>
      <x:c r="B17" s="26" t="str">
        <x:v>physics1-basic</x:v>
      </x:c>
      <x:c r="C17" s="26" t="n">
        <x:v>8</x:v>
      </x:c>
      <x:c r="D17" s="26" t="str">
        <x:v>물리1 8회차 복습 테스트</x:v>
      </x:c>
      <x:c r="E17" s="26" t="str"/>
      <x:c r="F17" s="26" t="n">
        <x:v>6</x:v>
      </x:c>
      <x:c r="G17" s="26" t="n">
        <x:v>100</x:v>
      </x:c>
      <x:c r="H17" s="26" t="str">
        <x:v>assets/documents/physics1/r08.pdf</x:v>
      </x:c>
      <x:c r="I17" s="26" t="str"/>
      <x:c r="J17" s="26" t="str">
        <x:v>verified</x:v>
      </x:c>
      <x:c r="K17" s="26" t="str">
        <x:v>2026.08.10-1</x:v>
      </x:c>
      <x:c r="L17" s="26" t="str">
        <x:v>ready</x:v>
      </x:c>
      <x:c r="M17" s="26" t="str">
        <x:v>["assets/pages/physics1/r08-p1.png"]</x:v>
      </x:c>
      <x:c r="N17" s="26" t="str">
        <x:v>{"summary":"일-에너지 정리와 역학적 에너지 보존, 용수철 에너지와 마찰열","concepts":["누적 일은 운동에너지 변화","진자의 높이차가 속력을 결정","용수철 F-x 그래프 기울기는 k, 넓이는 탄성에너지","최대 압축에서는 낙하 h+x 전체를 고려"],"formulas":["W=ΔK","U_s=½kx²","mgh+½mv²+½kx²=일정","Q_loss=E_i-E_f"],"mistakes":["F-x 넓이에서 1/2 누락","압축 중 중력의 추가 일을 빼먹음","J와 cal 변환 방향 오류","에너지비를 속력비로 착각"],"checklist":["기준 위치를 명확히 정했는가?","처음과 끝의 속도가 0인지 확인했는가?","마찰열을 구한 뒤 단위를 변환했는가?"]}</x:v>
      </x:c>
      <x:c r="O17" s="26" t="str">
        <x:v>물리1 8회차 복습 테스트</x:v>
      </x:c>
      <x:c r="P17" s="26" t="str"/>
    </x:row>
    <x:row r="18">
      <x:c r="A18" s="26" t="str">
        <x:v>physics1-basic-r10</x:v>
      </x:c>
      <x:c r="B18" s="26" t="str">
        <x:v>physics1-basic</x:v>
      </x:c>
      <x:c r="C18" s="26" t="n">
        <x:v>10</x:v>
      </x:c>
      <x:c r="D18" s="26" t="str">
        <x:v>물리1 10회차 복습 테스트</x:v>
      </x:c>
      <x:c r="E18" s="26" t="str"/>
      <x:c r="F18" s="26" t="n">
        <x:v>0</x:v>
      </x:c>
      <x:c r="G18" s="26" t="n">
        <x:v>0</x:v>
      </x:c>
      <x:c r="H18" s="26" t="str"/>
      <x:c r="I18" s="26" t="str"/>
      <x:c r="J18" s="26" t="str">
        <x:v>not-uploaded</x:v>
      </x:c>
      <x:c r="K18" s="26" t="str">
        <x:v>2026.08.10-1</x:v>
      </x:c>
      <x:c r="L18" s="26" t="str">
        <x:v>coming-soon</x:v>
      </x:c>
      <x:c r="M18" s="26" t="str">
        <x:v>[]</x:v>
      </x:c>
      <x:c r="N18" s="26" t="str">
        <x:v>{}</x:v>
      </x:c>
      <x:c r="O18" s="26" t="str"/>
      <x:c r="P18" s="26" t="str"/>
    </x:row>
    <x:row r="19">
      <x:c r="A19" s="26" t="str">
        <x:v>physics1-basic-r11</x:v>
      </x:c>
      <x:c r="B19" s="26" t="str">
        <x:v>physics1-basic</x:v>
      </x:c>
      <x:c r="C19" s="26" t="n">
        <x:v>11</x:v>
      </x:c>
      <x:c r="D19" s="26" t="str">
        <x:v>물리1 11회차 복습 테스트</x:v>
      </x:c>
      <x:c r="E19" s="26" t="str"/>
      <x:c r="F19" s="26" t="n">
        <x:v>0</x:v>
      </x:c>
      <x:c r="G19" s="26" t="n">
        <x:v>0</x:v>
      </x:c>
      <x:c r="H19" s="26" t="str"/>
      <x:c r="I19" s="26" t="str"/>
      <x:c r="J19" s="26" t="str">
        <x:v>not-uploaded</x:v>
      </x:c>
      <x:c r="K19" s="26" t="str">
        <x:v>2026.08.10-1</x:v>
      </x:c>
      <x:c r="L19" s="26" t="str">
        <x:v>coming-soon</x:v>
      </x:c>
      <x:c r="M19" s="26" t="str">
        <x:v>[]</x:v>
      </x:c>
      <x:c r="N19" s="26" t="str">
        <x:v>{}</x:v>
      </x:c>
      <x:c r="O19" s="26" t="str"/>
      <x:c r="P19" s="26" t="str"/>
    </x:row>
    <x:row r="20">
      <x:c r="A20" s="26" t="str">
        <x:v>physics1-basic-r12</x:v>
      </x:c>
      <x:c r="B20" s="26" t="str">
        <x:v>physics1-basic</x:v>
      </x:c>
      <x:c r="C20" s="26" t="n">
        <x:v>12</x:v>
      </x:c>
      <x:c r="D20" s="26" t="str">
        <x:v>물리1 12회차 복습 테스트</x:v>
      </x:c>
      <x:c r="E20" s="26" t="str"/>
      <x:c r="F20" s="26" t="n">
        <x:v>0</x:v>
      </x:c>
      <x:c r="G20" s="26" t="n">
        <x:v>0</x:v>
      </x:c>
      <x:c r="H20" s="26" t="str"/>
      <x:c r="I20" s="26" t="str"/>
      <x:c r="J20" s="26" t="str">
        <x:v>not-uploaded</x:v>
      </x:c>
      <x:c r="K20" s="26" t="str">
        <x:v>2026.08.10-1</x:v>
      </x:c>
      <x:c r="L20" s="26" t="str">
        <x:v>coming-soon</x:v>
      </x:c>
      <x:c r="M20" s="26" t="str">
        <x:v>[]</x:v>
      </x:c>
      <x:c r="N20" s="26" t="str">
        <x:v>{}</x:v>
      </x:c>
      <x:c r="O20" s="26" t="str"/>
      <x:c r="P20" s="26" t="str"/>
    </x:row>
    <x:row r="21">
      <x:c r="A21" s="26" t="str">
        <x:v>physics1-basic-r13</x:v>
      </x:c>
      <x:c r="B21" s="26" t="str">
        <x:v>physics1-basic</x:v>
      </x:c>
      <x:c r="C21" s="26" t="n">
        <x:v>13</x:v>
      </x:c>
      <x:c r="D21" s="26" t="str">
        <x:v>물리1 13회차 복습 테스트</x:v>
      </x:c>
      <x:c r="E21" s="26" t="str"/>
      <x:c r="F21" s="26" t="n">
        <x:v>0</x:v>
      </x:c>
      <x:c r="G21" s="26" t="n">
        <x:v>0</x:v>
      </x:c>
      <x:c r="H21" s="26" t="str"/>
      <x:c r="I21" s="26" t="str"/>
      <x:c r="J21" s="26" t="str">
        <x:v>not-uploaded</x:v>
      </x:c>
      <x:c r="K21" s="26" t="str">
        <x:v>2026.08.10-1</x:v>
      </x:c>
      <x:c r="L21" s="26" t="str">
        <x:v>coming-soon</x:v>
      </x:c>
      <x:c r="M21" s="26" t="str">
        <x:v>[]</x:v>
      </x:c>
      <x:c r="N21" s="26" t="str">
        <x:v>{}</x:v>
      </x:c>
      <x:c r="O21" s="26" t="str"/>
      <x:c r="P21" s="26" t="str"/>
    </x:row>
    <x:row r="22">
      <x:c r="A22" s="26" t="str">
        <x:v>physics1-basic-r14</x:v>
      </x:c>
      <x:c r="B22" s="26" t="str">
        <x:v>physics1-basic</x:v>
      </x:c>
      <x:c r="C22" s="26" t="n">
        <x:v>14</x:v>
      </x:c>
      <x:c r="D22" s="26" t="str">
        <x:v>물리1 14회차 복습 테스트</x:v>
      </x:c>
      <x:c r="E22" s="26" t="str"/>
      <x:c r="F22" s="26" t="n">
        <x:v>0</x:v>
      </x:c>
      <x:c r="G22" s="26" t="n">
        <x:v>0</x:v>
      </x:c>
      <x:c r="H22" s="26" t="str"/>
      <x:c r="I22" s="26" t="str"/>
      <x:c r="J22" s="26" t="str">
        <x:v>not-uploaded</x:v>
      </x:c>
      <x:c r="K22" s="26" t="str">
        <x:v>2026.08.10-1</x:v>
      </x:c>
      <x:c r="L22" s="26" t="str">
        <x:v>coming-soon</x:v>
      </x:c>
      <x:c r="M22" s="26" t="str">
        <x:v>[]</x:v>
      </x:c>
      <x:c r="N22" s="26" t="str">
        <x:v>{}</x:v>
      </x:c>
      <x:c r="O22" s="26" t="str"/>
      <x:c r="P22" s="26" t="str"/>
    </x:row>
    <x:row r="23">
      <x:c r="A23" s="26" t="str">
        <x:v>physics1-basic-r15</x:v>
      </x:c>
      <x:c r="B23" s="26" t="str">
        <x:v>physics1-basic</x:v>
      </x:c>
      <x:c r="C23" s="26" t="n">
        <x:v>15</x:v>
      </x:c>
      <x:c r="D23" s="26" t="str">
        <x:v>물리1 15회차 복습 테스트</x:v>
      </x:c>
      <x:c r="E23" s="26" t="str"/>
      <x:c r="F23" s="26" t="n">
        <x:v>0</x:v>
      </x:c>
      <x:c r="G23" s="26" t="n">
        <x:v>0</x:v>
      </x:c>
      <x:c r="H23" s="26" t="str"/>
      <x:c r="I23" s="26" t="str"/>
      <x:c r="J23" s="26" t="str">
        <x:v>not-uploaded</x:v>
      </x:c>
      <x:c r="K23" s="26" t="str">
        <x:v>2026.08.10-1</x:v>
      </x:c>
      <x:c r="L23" s="26" t="str">
        <x:v>coming-soon</x:v>
      </x:c>
      <x:c r="M23" s="26" t="str">
        <x:v>[]</x:v>
      </x:c>
      <x:c r="N23" s="26" t="str">
        <x:v>{}</x:v>
      </x:c>
      <x:c r="O23" s="26" t="str"/>
      <x:c r="P23" s="26" t="str"/>
    </x:row>
    <x:row r="24">
      <x:c r="A24" s="26" t="str">
        <x:v>physics1-basic-r16</x:v>
      </x:c>
      <x:c r="B24" s="26" t="str">
        <x:v>physics1-basic</x:v>
      </x:c>
      <x:c r="C24" s="26" t="n">
        <x:v>16</x:v>
      </x:c>
      <x:c r="D24" s="26" t="str">
        <x:v>물리1 16회차 복습 테스트</x:v>
      </x:c>
      <x:c r="E24" s="26" t="str"/>
      <x:c r="F24" s="26" t="n">
        <x:v>0</x:v>
      </x:c>
      <x:c r="G24" s="26" t="n">
        <x:v>0</x:v>
      </x:c>
      <x:c r="H24" s="26" t="str"/>
      <x:c r="I24" s="26" t="str"/>
      <x:c r="J24" s="26" t="str">
        <x:v>not-uploaded</x:v>
      </x:c>
      <x:c r="K24" s="26" t="str">
        <x:v>2026.08.10-1</x:v>
      </x:c>
      <x:c r="L24" s="26" t="str">
        <x:v>coming-soon</x:v>
      </x:c>
      <x:c r="M24" s="26" t="str">
        <x:v>[]</x:v>
      </x:c>
      <x:c r="N24" s="26" t="str">
        <x:v>{}</x:v>
      </x:c>
      <x:c r="O24" s="26" t="str"/>
      <x:c r="P24" s="26" t="str"/>
    </x:row>
    <x:row r="25">
      <x:c r="A25" s="26" t="str">
        <x:v>physics2-basic-r01</x:v>
      </x:c>
      <x:c r="B25" s="26" t="str">
        <x:v>physics2-basic</x:v>
      </x:c>
      <x:c r="C25" s="26" t="n">
        <x:v>1</x:v>
      </x:c>
      <x:c r="D25" s="26" t="str">
        <x:v>물리2 1회차 복습 테스트</x:v>
      </x:c>
      <x:c r="E25" s="26" t="str"/>
      <x:c r="F25" s="26" t="n">
        <x:v>0</x:v>
      </x:c>
      <x:c r="G25" s="26" t="n">
        <x:v>0</x:v>
      </x:c>
      <x:c r="H25" s="26" t="str"/>
      <x:c r="I25" s="26" t="str"/>
      <x:c r="J25" s="26" t="str">
        <x:v>not-uploaded</x:v>
      </x:c>
      <x:c r="K25" s="26" t="str">
        <x:v>2026.08.10-1</x:v>
      </x:c>
      <x:c r="L25" s="26" t="str">
        <x:v>coming-soon</x:v>
      </x:c>
      <x:c r="M25" s="26" t="str">
        <x:v>[]</x:v>
      </x:c>
      <x:c r="N25" s="26" t="str">
        <x:v>{}</x:v>
      </x:c>
      <x:c r="O25" s="26" t="str"/>
      <x:c r="P25" s="26" t="str"/>
    </x:row>
    <x:row r="26">
      <x:c r="A26" s="26" t="str">
        <x:v>physics2-basic-r02</x:v>
      </x:c>
      <x:c r="B26" s="26" t="str">
        <x:v>physics2-basic</x:v>
      </x:c>
      <x:c r="C26" s="26" t="n">
        <x:v>2</x:v>
      </x:c>
      <x:c r="D26" s="26" t="str">
        <x:v>물리2 2회차 복습 테스트</x:v>
      </x:c>
      <x:c r="E26" s="26" t="str"/>
      <x:c r="F26" s="26" t="n">
        <x:v>0</x:v>
      </x:c>
      <x:c r="G26" s="26" t="n">
        <x:v>0</x:v>
      </x:c>
      <x:c r="H26" s="26" t="str"/>
      <x:c r="I26" s="26" t="str"/>
      <x:c r="J26" s="26" t="str">
        <x:v>not-uploaded</x:v>
      </x:c>
      <x:c r="K26" s="26" t="str">
        <x:v>2026.08.10-1</x:v>
      </x:c>
      <x:c r="L26" s="26" t="str">
        <x:v>coming-soon</x:v>
      </x:c>
      <x:c r="M26" s="26" t="str">
        <x:v>[]</x:v>
      </x:c>
      <x:c r="N26" s="26" t="str">
        <x:v>{}</x:v>
      </x:c>
      <x:c r="O26" s="26" t="str"/>
      <x:c r="P26" s="26" t="str"/>
    </x:row>
    <x:row r="27">
      <x:c r="A27" s="26" t="str">
        <x:v>physics2-basic-r03</x:v>
      </x:c>
      <x:c r="B27" s="26" t="str">
        <x:v>physics2-basic</x:v>
      </x:c>
      <x:c r="C27" s="26" t="n">
        <x:v>3</x:v>
      </x:c>
      <x:c r="D27" s="26" t="str">
        <x:v>물리2 3회차 복습 테스트</x:v>
      </x:c>
      <x:c r="E27" s="26" t="str"/>
      <x:c r="F27" s="26" t="n">
        <x:v>0</x:v>
      </x:c>
      <x:c r="G27" s="26" t="n">
        <x:v>0</x:v>
      </x:c>
      <x:c r="H27" s="26" t="str"/>
      <x:c r="I27" s="26" t="str"/>
      <x:c r="J27" s="26" t="str">
        <x:v>not-uploaded</x:v>
      </x:c>
      <x:c r="K27" s="26" t="str">
        <x:v>2026.08.10-1</x:v>
      </x:c>
      <x:c r="L27" s="26" t="str">
        <x:v>coming-soon</x:v>
      </x:c>
      <x:c r="M27" s="26" t="str">
        <x:v>[]</x:v>
      </x:c>
      <x:c r="N27" s="26" t="str">
        <x:v>{}</x:v>
      </x:c>
      <x:c r="O27" s="26" t="str"/>
      <x:c r="P27" s="26" t="str"/>
    </x:row>
    <x:row r="28">
      <x:c r="A28" s="26" t="str">
        <x:v>physics2-basic-r04</x:v>
      </x:c>
      <x:c r="B28" s="26" t="str">
        <x:v>physics2-basic</x:v>
      </x:c>
      <x:c r="C28" s="26" t="n">
        <x:v>4</x:v>
      </x:c>
      <x:c r="D28" s="26" t="str">
        <x:v>물리2 4회차 복습 테스트</x:v>
      </x:c>
      <x:c r="E28" s="26" t="str"/>
      <x:c r="F28" s="26" t="n">
        <x:v>0</x:v>
      </x:c>
      <x:c r="G28" s="26" t="n">
        <x:v>0</x:v>
      </x:c>
      <x:c r="H28" s="26" t="str"/>
      <x:c r="I28" s="26" t="str"/>
      <x:c r="J28" s="26" t="str">
        <x:v>not-uploaded</x:v>
      </x:c>
      <x:c r="K28" s="26" t="str">
        <x:v>2026.08.10-1</x:v>
      </x:c>
      <x:c r="L28" s="26" t="str">
        <x:v>coming-soon</x:v>
      </x:c>
      <x:c r="M28" s="26" t="str">
        <x:v>[]</x:v>
      </x:c>
      <x:c r="N28" s="26" t="str">
        <x:v>{}</x:v>
      </x:c>
      <x:c r="O28" s="26" t="str"/>
      <x:c r="P28" s="26" t="str"/>
    </x:row>
    <x:row r="29">
      <x:c r="A29" s="26" t="str">
        <x:v>physics2-basic-r05</x:v>
      </x:c>
      <x:c r="B29" s="26" t="str">
        <x:v>physics2-basic</x:v>
      </x:c>
      <x:c r="C29" s="26" t="n">
        <x:v>5</x:v>
      </x:c>
      <x:c r="D29" s="26" t="str">
        <x:v>물리2 5회차 복습 테스트</x:v>
      </x:c>
      <x:c r="E29" s="26" t="str"/>
      <x:c r="F29" s="26" t="n">
        <x:v>0</x:v>
      </x:c>
      <x:c r="G29" s="26" t="n">
        <x:v>0</x:v>
      </x:c>
      <x:c r="H29" s="26" t="str"/>
      <x:c r="I29" s="26" t="str"/>
      <x:c r="J29" s="26" t="str">
        <x:v>not-uploaded</x:v>
      </x:c>
      <x:c r="K29" s="26" t="str">
        <x:v>2026.08.10-1</x:v>
      </x:c>
      <x:c r="L29" s="26" t="str">
        <x:v>coming-soon</x:v>
      </x:c>
      <x:c r="M29" s="26" t="str">
        <x:v>[]</x:v>
      </x:c>
      <x:c r="N29" s="26" t="str">
        <x:v>{}</x:v>
      </x:c>
      <x:c r="O29" s="26" t="str"/>
      <x:c r="P29" s="26" t="str"/>
    </x:row>
    <x:row r="30">
      <x:c r="A30" s="26" t="str">
        <x:v>physics2-basic-r06</x:v>
      </x:c>
      <x:c r="B30" s="26" t="str">
        <x:v>physics2-basic</x:v>
      </x:c>
      <x:c r="C30" s="26" t="n">
        <x:v>6</x:v>
      </x:c>
      <x:c r="D30" s="26" t="str">
        <x:v>물리2 6회차 복습 테스트</x:v>
      </x:c>
      <x:c r="E30" s="26" t="str"/>
      <x:c r="F30" s="26" t="n">
        <x:v>0</x:v>
      </x:c>
      <x:c r="G30" s="26" t="n">
        <x:v>0</x:v>
      </x:c>
      <x:c r="H30" s="26" t="str"/>
      <x:c r="I30" s="26" t="str"/>
      <x:c r="J30" s="26" t="str">
        <x:v>not-uploaded</x:v>
      </x:c>
      <x:c r="K30" s="26" t="str">
        <x:v>2026.08.10-1</x:v>
      </x:c>
      <x:c r="L30" s="26" t="str">
        <x:v>coming-soon</x:v>
      </x:c>
      <x:c r="M30" s="26" t="str">
        <x:v>[]</x:v>
      </x:c>
      <x:c r="N30" s="26" t="str">
        <x:v>{}</x:v>
      </x:c>
      <x:c r="O30" s="26" t="str"/>
      <x:c r="P30" s="26" t="str"/>
    </x:row>
    <x:row r="31">
      <x:c r="A31" s="26" t="str">
        <x:v>physics2-basic-r07</x:v>
      </x:c>
      <x:c r="B31" s="26" t="str">
        <x:v>physics2-basic</x:v>
      </x:c>
      <x:c r="C31" s="26" t="n">
        <x:v>7</x:v>
      </x:c>
      <x:c r="D31" s="26" t="str">
        <x:v>물리2 7회차 복습 테스트</x:v>
      </x:c>
      <x:c r="E31" s="26" t="str"/>
      <x:c r="F31" s="26" t="n">
        <x:v>0</x:v>
      </x:c>
      <x:c r="G31" s="26" t="n">
        <x:v>0</x:v>
      </x:c>
      <x:c r="H31" s="26" t="str"/>
      <x:c r="I31" s="26" t="str"/>
      <x:c r="J31" s="26" t="str">
        <x:v>not-uploaded</x:v>
      </x:c>
      <x:c r="K31" s="26" t="str">
        <x:v>2026.08.10-1</x:v>
      </x:c>
      <x:c r="L31" s="26" t="str">
        <x:v>coming-soon</x:v>
      </x:c>
      <x:c r="M31" s="26" t="str">
        <x:v>[]</x:v>
      </x:c>
      <x:c r="N31" s="26" t="str">
        <x:v>{}</x:v>
      </x:c>
      <x:c r="O31" s="26" t="str"/>
      <x:c r="P31" s="26" t="str"/>
    </x:row>
    <x:row r="32">
      <x:c r="A32" s="26" t="str">
        <x:v>physics2-basic-r08</x:v>
      </x:c>
      <x:c r="B32" s="26" t="str">
        <x:v>physics2-basic</x:v>
      </x:c>
      <x:c r="C32" s="26" t="n">
        <x:v>8</x:v>
      </x:c>
      <x:c r="D32" s="26" t="str">
        <x:v>물리2 8회차 복습 테스트</x:v>
      </x:c>
      <x:c r="E32" s="26" t="str"/>
      <x:c r="F32" s="26" t="n">
        <x:v>0</x:v>
      </x:c>
      <x:c r="G32" s="26" t="n">
        <x:v>0</x:v>
      </x:c>
      <x:c r="H32" s="26" t="str"/>
      <x:c r="I32" s="26" t="str"/>
      <x:c r="J32" s="26" t="str">
        <x:v>not-uploaded</x:v>
      </x:c>
      <x:c r="K32" s="26" t="str">
        <x:v>2026.08.10-1</x:v>
      </x:c>
      <x:c r="L32" s="26" t="str">
        <x:v>coming-soon</x:v>
      </x:c>
      <x:c r="M32" s="26" t="str">
        <x:v>[]</x:v>
      </x:c>
      <x:c r="N32" s="26" t="str">
        <x:v>{}</x:v>
      </x:c>
      <x:c r="O32" s="26" t="str"/>
      <x:c r="P32" s="26" t="str"/>
    </x:row>
    <x:row r="33">
      <x:c r="A33" s="26" t="str">
        <x:v>physics2-basic-r09</x:v>
      </x:c>
      <x:c r="B33" s="26" t="str">
        <x:v>physics2-basic</x:v>
      </x:c>
      <x:c r="C33" s="26" t="n">
        <x:v>9</x:v>
      </x:c>
      <x:c r="D33" s="26" t="str">
        <x:v>물리2 9회차 복습 테스트</x:v>
      </x:c>
      <x:c r="E33" s="26" t="str"/>
      <x:c r="F33" s="26" t="n">
        <x:v>0</x:v>
      </x:c>
      <x:c r="G33" s="26" t="n">
        <x:v>0</x:v>
      </x:c>
      <x:c r="H33" s="26" t="str"/>
      <x:c r="I33" s="26" t="str"/>
      <x:c r="J33" s="26" t="str">
        <x:v>not-uploaded</x:v>
      </x:c>
      <x:c r="K33" s="26" t="str">
        <x:v>2026.08.10-1</x:v>
      </x:c>
      <x:c r="L33" s="26" t="str">
        <x:v>coming-soon</x:v>
      </x:c>
      <x:c r="M33" s="26" t="str">
        <x:v>[]</x:v>
      </x:c>
      <x:c r="N33" s="26" t="str">
        <x:v>{}</x:v>
      </x:c>
      <x:c r="O33" s="26" t="str"/>
      <x:c r="P33" s="26" t="str"/>
    </x:row>
    <x:row r="34">
      <x:c r="A34" s="26" t="str">
        <x:v>physics2-basic-r11</x:v>
      </x:c>
      <x:c r="B34" s="26" t="str">
        <x:v>physics2-basic</x:v>
      </x:c>
      <x:c r="C34" s="26" t="n">
        <x:v>11</x:v>
      </x:c>
      <x:c r="D34" s="26" t="str">
        <x:v>물리2 11회차 복습 테스트</x:v>
      </x:c>
      <x:c r="E34" s="26" t="str"/>
      <x:c r="F34" s="26" t="n">
        <x:v>0</x:v>
      </x:c>
      <x:c r="G34" s="26" t="n">
        <x:v>0</x:v>
      </x:c>
      <x:c r="H34" s="26" t="str"/>
      <x:c r="I34" s="26" t="str"/>
      <x:c r="J34" s="26" t="str">
        <x:v>not-uploaded</x:v>
      </x:c>
      <x:c r="K34" s="26" t="str">
        <x:v>2026.08.10-1</x:v>
      </x:c>
      <x:c r="L34" s="26" t="str">
        <x:v>coming-soon</x:v>
      </x:c>
      <x:c r="M34" s="26" t="str">
        <x:v>[]</x:v>
      </x:c>
      <x:c r="N34" s="26" t="str">
        <x:v>{}</x:v>
      </x:c>
      <x:c r="O34" s="26" t="str"/>
      <x:c r="P34" s="26" t="str"/>
    </x:row>
    <x:row r="35">
      <x:c r="A35" s="26" t="str">
        <x:v>physics2-basic-r12</x:v>
      </x:c>
      <x:c r="B35" s="26" t="str">
        <x:v>physics2-basic</x:v>
      </x:c>
      <x:c r="C35" s="26" t="n">
        <x:v>12</x:v>
      </x:c>
      <x:c r="D35" s="26" t="str">
        <x:v>물리2 12회차 복습 테스트</x:v>
      </x:c>
      <x:c r="E35" s="26" t="str"/>
      <x:c r="F35" s="26" t="n">
        <x:v>0</x:v>
      </x:c>
      <x:c r="G35" s="26" t="n">
        <x:v>0</x:v>
      </x:c>
      <x:c r="H35" s="26" t="str"/>
      <x:c r="I35" s="26" t="str"/>
      <x:c r="J35" s="26" t="str">
        <x:v>not-uploaded</x:v>
      </x:c>
      <x:c r="K35" s="26" t="str">
        <x:v>2026.08.10-1</x:v>
      </x:c>
      <x:c r="L35" s="26" t="str">
        <x:v>coming-soon</x:v>
      </x:c>
      <x:c r="M35" s="26" t="str">
        <x:v>[]</x:v>
      </x:c>
      <x:c r="N35" s="26" t="str">
        <x:v>{}</x:v>
      </x:c>
      <x:c r="O35" s="26" t="str"/>
      <x:c r="P35" s="26" t="str"/>
    </x:row>
    <x:row r="36">
      <x:c r="A36" s="26" t="str">
        <x:v>physics2-basic-r13</x:v>
      </x:c>
      <x:c r="B36" s="26" t="str">
        <x:v>physics2-basic</x:v>
      </x:c>
      <x:c r="C36" s="26" t="n">
        <x:v>13</x:v>
      </x:c>
      <x:c r="D36" s="26" t="str">
        <x:v>물리2 13회차 복습 테스트</x:v>
      </x:c>
      <x:c r="E36" s="26" t="str"/>
      <x:c r="F36" s="26" t="n">
        <x:v>0</x:v>
      </x:c>
      <x:c r="G36" s="26" t="n">
        <x:v>0</x:v>
      </x:c>
      <x:c r="H36" s="26" t="str"/>
      <x:c r="I36" s="26" t="str"/>
      <x:c r="J36" s="26" t="str">
        <x:v>not-uploaded</x:v>
      </x:c>
      <x:c r="K36" s="26" t="str">
        <x:v>2026.08.10-1</x:v>
      </x:c>
      <x:c r="L36" s="26" t="str">
        <x:v>coming-soon</x:v>
      </x:c>
      <x:c r="M36" s="26" t="str">
        <x:v>[]</x:v>
      </x:c>
      <x:c r="N36" s="26" t="str">
        <x:v>{}</x:v>
      </x:c>
      <x:c r="O36" s="26" t="str"/>
      <x:c r="P36" s="26" t="str"/>
    </x:row>
    <x:row r="37">
      <x:c r="A37" s="26" t="str">
        <x:v>physics2-basic-r14</x:v>
      </x:c>
      <x:c r="B37" s="26" t="str">
        <x:v>physics2-basic</x:v>
      </x:c>
      <x:c r="C37" s="26" t="n">
        <x:v>14</x:v>
      </x:c>
      <x:c r="D37" s="26" t="str">
        <x:v>물리2 14회차 복습 테스트</x:v>
      </x:c>
      <x:c r="E37" s="26" t="str"/>
      <x:c r="F37" s="26" t="n">
        <x:v>0</x:v>
      </x:c>
      <x:c r="G37" s="26" t="n">
        <x:v>0</x:v>
      </x:c>
      <x:c r="H37" s="26" t="str"/>
      <x:c r="I37" s="26" t="str"/>
      <x:c r="J37" s="26" t="str">
        <x:v>not-uploaded</x:v>
      </x:c>
      <x:c r="K37" s="26" t="str">
        <x:v>2026.08.10-1</x:v>
      </x:c>
      <x:c r="L37" s="26" t="str">
        <x:v>coming-soon</x:v>
      </x:c>
      <x:c r="M37" s="26" t="str">
        <x:v>[]</x:v>
      </x:c>
      <x:c r="N37" s="26" t="str">
        <x:v>{}</x:v>
      </x:c>
      <x:c r="O37" s="26" t="str"/>
      <x:c r="P37" s="26" t="str"/>
    </x:row>
    <x:row r="38">
      <x:c r="A38" s="26" t="str">
        <x:v>physics2-basic-r15</x:v>
      </x:c>
      <x:c r="B38" s="26" t="str">
        <x:v>physics2-basic</x:v>
      </x:c>
      <x:c r="C38" s="26" t="n">
        <x:v>15</x:v>
      </x:c>
      <x:c r="D38" s="26" t="str">
        <x:v>물리2 15회차 복습 테스트</x:v>
      </x:c>
      <x:c r="E38" s="26" t="str"/>
      <x:c r="F38" s="26" t="n">
        <x:v>0</x:v>
      </x:c>
      <x:c r="G38" s="26" t="n">
        <x:v>0</x:v>
      </x:c>
      <x:c r="H38" s="26" t="str"/>
      <x:c r="I38" s="26" t="str"/>
      <x:c r="J38" s="26" t="str">
        <x:v>not-uploaded</x:v>
      </x:c>
      <x:c r="K38" s="26" t="str">
        <x:v>2026.08.10-1</x:v>
      </x:c>
      <x:c r="L38" s="26" t="str">
        <x:v>coming-soon</x:v>
      </x:c>
      <x:c r="M38" s="26" t="str">
        <x:v>[]</x:v>
      </x:c>
      <x:c r="N38" s="26" t="str">
        <x:v>{}</x:v>
      </x:c>
      <x:c r="O38" s="26" t="str"/>
      <x:c r="P38" s="26" t="str"/>
    </x:row>
  </x:sheetData>
  <x:mergeCells>
    <x:mergeCell ref="A1:P1"/>
    <x:mergeCell ref="A2:P2"/>
  </x:mergeCells>
  <x:conditionalFormatting sqref="L5:L38">
    <x:cfRule type="expression" dxfId="0" priority="1">
      <x:formula>L5="ready"</x:formula>
    </x:cfRule>
    <x:cfRule type="expression" dxfId="1" priority="2">
      <x:formula>L5="coming-soon"</x:formula>
    </x:cfRule>
  </x:conditionalFormatting>
  <x:conditionalFormatting sqref="J5:J38">
    <x:cfRule type="expression" dxfId="2" priority="3">
      <x:formula>OR(J5="ambiguous",J5="needs-review")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b25c196d8b4b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3" hidden="0" customWidth="1"/>
    <x:col min="4" max="4" width="12" hidden="0" customWidth="1"/>
    <x:col min="5" max="5" width="18" hidden="0" customWidth="1"/>
    <x:col min="6" max="6" width="24" hidden="0" customWidth="1"/>
    <x:col min="7" max="7" width="10" hidden="0" customWidth="1"/>
    <x:col min="8" max="8" width="52" hidden="0" customWidth="1"/>
    <x:col min="9" max="9" width="42" hidden="0" customWidth="1"/>
    <x:col min="10" max="10" width="70" hidden="0" customWidth="1"/>
    <x:col min="11" max="11" width="70" hidden="0" customWidth="1"/>
    <x:col min="12" max="12" width="15" hidden="0" customWidth="1"/>
    <x:col min="13" max="13" width="70" hidden="0" customWidth="1"/>
    <x:col min="14" max="14" width="28" hidden="0" customWidth="1"/>
  </x:cols>
  <x:sheetData>
    <x:row r="1" ht="34" customHeight="1">
      <x:c r="A1" s="5" t="str">
        <x:v>Questions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현재 물리1 2~8회 58개 상위 문항. JSON 열은 Apps Script에서 그대로 파싱합니다.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3" t="str">
        <x:v>ExamId</x:v>
      </x:c>
      <x:c r="B4" s="33" t="str">
        <x:v>QuestionNo</x:v>
      </x:c>
      <x:c r="C4" s="33" t="str">
        <x:v>Type</x:v>
      </x:c>
      <x:c r="D4" s="33" t="str">
        <x:v>MaxPoints</x:v>
      </x:c>
      <x:c r="E4" s="33" t="str">
        <x:v>Unit</x:v>
      </x:c>
      <x:c r="F4" s="33" t="str">
        <x:v>Topic</x:v>
      </x:c>
      <x:c r="G4" s="33" t="str">
        <x:v>Difficulty</x:v>
      </x:c>
      <x:c r="H4" s="33" t="str">
        <x:v>AnswerJSON</x:v>
      </x:c>
      <x:c r="I4" s="33" t="str">
        <x:v>RubricJSON</x:v>
      </x:c>
      <x:c r="J4" s="33" t="str">
        <x:v>ExplanationJSON</x:v>
      </x:c>
      <x:c r="K4" s="33" t="str">
        <x:v>SimilarProblemJSON</x:v>
      </x:c>
      <x:c r="L4" s="33" t="str">
        <x:v>ReviewStatus</x:v>
      </x:c>
      <x:c r="M4" s="33" t="str">
        <x:v>CorrectionNote</x:v>
      </x:c>
      <x:c r="N4" s="33" t="str">
        <x:v>ImageJSON</x:v>
      </x:c>
    </x:row>
    <x:row r="5">
      <x:c r="A5" s="26" t="str">
        <x:v>physics1-basic-r02</x:v>
      </x:c>
      <x:c r="B5" s="26" t="n">
        <x:v>1</x:v>
      </x:c>
      <x:c r="C5" s="26" t="str">
        <x:v>subjective</x:v>
      </x:c>
      <x:c r="D5" s="26" t="n">
        <x:v>15</x:v>
      </x:c>
      <x:c r="E5" s="26" t="str">
        <x:v>운동의 기술</x:v>
      </x:c>
      <x:c r="F5" s="26" t="str">
        <x:v>변위-시간 그래프와 이동 거리</x:v>
      </x:c>
      <x:c r="G5" s="26" t="str">
        <x:v>중</x:v>
      </x:c>
      <x:c r="H5" s="26" t="str">
        <x:v>{"answer":"이동 거리는 시간에 따라 계속 증가한다. 변위가 증가하는 구간에서는 이동 거리 그래프가 원래 s-t 그래프와 같은 기울기로 상승하고, 변위가 최대가 되는 순간에는 기울기가 0이 된다. 이후 물체가 되돌아오므로 이동 거리는 다시 증가하며 기울기의 크기는 |v|만큼 커진다."}</x:v>
      </x:c>
      <x:c r="I5" s="26" t="str">
        <x:v>[{"criterion":"이동 거리가 전 구간에서 감소하지 않음","points":4},{"criterion":"방향 전환점에서 수평 접선","points":4},{"criterion":"전환 전·후 기울기가 각각 |v|와 일치","points":5},{"criterion":"축·라벨·연결의 완성도","points":2}]</x:v>
      </x:c>
      <x:c r="J5" s="26" t="str">
        <x:v>{"steps":["이동 거리의 순간 변화율은 속력이므로 dL/dt=|v|이다.","처음부터 변위의 꼭짓점까지는 한 방향으로 움직이므로 L=s이다.","꼭짓점 이후에는 반대 방향으로 움직이지만 이동 거리는 줄지 않는다. 따라서 꼭짓점에서 수평 접선을 가진 뒤 다시 위로 증가하는 그래프가 된다."],"formulas":["dL/dt = |v|","방향 전환 순간: v=0 → 이동 거리 그래프의 기울기 0"],"commonMistakes":["되돌아오는 구간에서 이동 거리가 감소한다고 그리는 것","변위 그래프를 그대로 복사해 아래로 내려가게 그리는 것"]}</x:v>
      </x:c>
      <x:c r="K5" s="26" t="str">
        <x:v>{"prompt":"어떤 물체의 위치가 처음 0 m에서 증가하다가 t=3 s에 12 m로 최대가 된 뒤, t=5 s에 7 m가 되었다. 이동 거리-시간 그래프의 핵심 점 (0 s, 3 s, 5 s)의 이동 거리를 쓰고 그래프 모양을 설명하시오.","answer":"(0 s, 0 m), (3 s, 12 m), (5 s, 17 m). 3 s까지 증가하다가 기울기가 0이 된 뒤, 다시 증가한다.","explanation":"3 s까지 12 m 이동했고, 이후 12 m에서 7 m로 5 m 되돌아왔으므로 총 이동 거리는 17 m이다. 이동 거리는 방향이 바뀌어도 감소하지 않는다.","inputMode":"text","acceptableAnswers":["0,12,17","0m,12m,17m","17m"]}</x:v>
      </x:c>
      <x:c r="L5" s="26" t="str">
        <x:v>verified</x:v>
      </x:c>
      <x:c r="M5" s="26" t="str"/>
      <x:c r="N5" s="26" t="str">
        <x:v>{"page":1,"crop":[55,190,675,500]}</x:v>
      </x:c>
    </x:row>
    <x:row r="6">
      <x:c r="A6" s="26" t="str">
        <x:v>physics1-basic-r02</x:v>
      </x:c>
      <x:c r="B6" s="26" t="n">
        <x:v>2</x:v>
      </x:c>
      <x:c r="C6" s="26" t="str">
        <x:v>subjective</x:v>
      </x:c>
      <x:c r="D6" s="26" t="n">
        <x:v>15</x:v>
      </x:c>
      <x:c r="E6" s="26" t="str">
        <x:v>운동의 기술</x:v>
      </x:c>
      <x:c r="F6" s="26" t="str">
        <x:v>속도-시간 그래프의 적분</x:v>
      </x:c>
      <x:c r="G6" s="26" t="str">
        <x:v>중</x:v>
      </x:c>
      <x:c r="H6" s="26" t="str">
        <x:v>{"answer":"0~첫 점선: 속력이 일정하게 증가하므로 이동 거리 그래프는 기울기가 커지는 아래로 볼록한 곡선. 첫~둘째 점선: 속력이 일정하므로 직선. 둘째 점선 이후: 속력이 일정하게 감소하여 0이 되므로 기울기가 줄어드는 위로 볼록한 곡선이며 마지막에는 수평 접선."}</x:v>
      </x:c>
      <x:c r="I6" s="26" t="str">
        <x:v>[{"criterion":"가속 구간의 아래로 볼록한 곡선","points":5},{"criterion":"등속 구간의 직선","points":5},{"criterion":"감속 구간의 위로 볼록한 곡선과 마지막 수평 접선","points":5}]</x:v>
      </x:c>
      <x:c r="J6" s="26" t="str">
        <x:v>{"steps":["이동 거리 그래프의 기울기는 속력이다.","v-t 그래프가 상승하는 동안에는 이동 거리 그래프의 기울기가 증가한다.","v가 일정한 동안에는 이동 거리가 시간에 비례하여 증가한다.","v가 0으로 감소하는 동안에는 이동 거리는 계속 증가하지만 기울기는 0으로 줄어든다."],"formulas":["dL/dt=v (그림에서는 v≥0)","이동 거리 = v-t 그래프 아래 넓이"],"commonMistakes":["감속 구간에서 이동 거리도 감소한다고 그리는 것","등속 구간을 곡선으로 그리는 것","구간 경계에서 그래프를 끊는 것"]}</x:v>
      </x:c>
      <x:c r="K6" s="26" t="str">
        <x:v>{"prompt":"속력이 0~2 s 동안 0에서 6 m/s까지 일정하게 증가하고, 2~5 s 동안 6 m/s로 일정하며, 5~7 s 동안 0까지 일정하게 감소한다. 이동 거리 그래프의 세 구간 모양과 7 s까지 이동 거리를 구하시오.","answer":"아래로 볼록한 곡선 → 직선 → 위로 볼록한 곡선. 총 이동 거리 30 m.","explanation":"v-t 넓이는 첫 삼각형 6 m, 직사각형 18 m, 마지막 삼각형 6 m이므로 합은 30 m이다.","inputMode":"text","acceptableAnswers":["30","30m","30 m"]}</x:v>
      </x:c>
      <x:c r="L6" s="26" t="str">
        <x:v>verified</x:v>
      </x:c>
      <x:c r="M6" s="26" t="str"/>
      <x:c r="N6" s="26" t="str">
        <x:v>{"page":1,"crop":[55,700,675,600]}</x:v>
      </x:c>
    </x:row>
    <x:row r="7">
      <x:c r="A7" s="26" t="str">
        <x:v>physics1-basic-r02</x:v>
      </x:c>
      <x:c r="B7" s="26" t="n">
        <x:v>3</x:v>
      </x:c>
      <x:c r="C7" s="26" t="str">
        <x:v>subjective</x:v>
      </x:c>
      <x:c r="D7" s="26" t="n">
        <x:v>10</x:v>
      </x:c>
      <x:c r="E7" s="26" t="str">
        <x:v>운동의 기술</x:v>
      </x:c>
      <x:c r="F7" s="26" t="str">
        <x:v>평균 가속도와 방향</x:v>
      </x:c>
      <x:c r="G7" s="26" t="str">
        <x:v>하</x:v>
      </x:c>
      <x:c r="H7" s="26" t="str">
        <x:v>{"answer":"오른쪽을 +로 잡으면 v_i=+3 m/s, v_f=-6 m/s이다. a=(v_f-v_i)/Δt=(-6-3)/3=-3 m/s². 따라서 가속도 크기는 3 m/s², 방향은 왼쪽이다."}</x:v>
      </x:c>
      <x:c r="I7" s="26" t="str">
        <x:v>[{"criterion":"방향·부호·적용 조건 설정","points":2},{"criterion":"핵심 식 전개","points":3},{"criterion":"수치 계산","points":3},{"criterion":"최종값·단위·해석","points":2}]</x:v>
      </x:c>
      <x:c r="J7" s="26" t="str">
        <x:v>{"steps":["속도의 방향을 부호로 나타낸다.","평균 가속도는 속도 변화량을 시간으로 나눈 값이다."],"formulas":["a=(v_f-v_i)/Δt"],"commonMistakes":["속력의 차 6-3만 계산하는 것","방향이 바뀌었는데 두 속도를 같은 부호로 두는 것"]}</x:v>
      </x:c>
      <x:c r="K7" s="26" t="str">
        <x:v>{"prompt":"동쪽으로 4 m/s로 달리던 물체가 2 s 뒤 서쪽으로 8 m/s가 되었다. 평균 가속도의 크기와 방향을 구하시오.","answer":"6 m/s², 서쪽","explanation":"동쪽을 +로 두면 a=(-8-4)/2=-6 m/s²이므로 크기는 6 m/s²이고 방향은 서쪽이다.","inputMode":"text","acceptableAnswers":["6","6m/s2","6 m/s²","서쪽 6","6 서쪽"]}</x:v>
      </x:c>
      <x:c r="L7" s="26" t="str">
        <x:v>verified</x:v>
      </x:c>
      <x:c r="M7" s="26" t="str"/>
      <x:c r="N7" s="26" t="str">
        <x:v>{"page":1,"crop":[55,1300,675,210]}</x:v>
      </x:c>
    </x:row>
    <x:row r="8">
      <x:c r="A8" s="26" t="str">
        <x:v>physics1-basic-r02</x:v>
      </x:c>
      <x:c r="B8" s="26" t="n">
        <x:v>4</x:v>
      </x:c>
      <x:c r="C8" s="26" t="str">
        <x:v>objective</x:v>
      </x:c>
      <x:c r="D8" s="26" t="n">
        <x:v>10</x:v>
      </x:c>
      <x:c r="E8" s="26" t="str">
        <x:v>운동의 기술</x:v>
      </x:c>
      <x:c r="F8" s="26" t="str">
        <x:v>변위-시간 그래프의 기울기</x:v>
      </x:c>
      <x:c r="G8" s="26" t="str">
        <x:v>하</x:v>
      </x:c>
      <x:c r="H8" s="26" t="str">
        <x:v>{"answer":"s는 증가하고, v는 감소한다."}</x:v>
      </x:c>
      <x:c r="I8" s="26" t="str">
        <x:v>[{"criterion":"s의 변화: 증가","points":5},{"criterion":"v의 변화: 감소","points":5}]</x:v>
      </x:c>
      <x:c r="J8" s="26" t="str">
        <x:v>{"steps":["시간이 지날수록 s 값은 0→4→7→9→10으로 커진다.","같은 1초 동안의 변위가 4, 3, 2, 1 m로 줄어들므로 그래프의 기울기인 속도는 감소한다."],"formulas":["v = Δs/Δt (짧은 구간에서 그래프의 기울기)"],"commonMistakes":["s가 증가하므로 v도 반드시 증가한다고 판단하는 것","그래프 높이와 기울기를 혼동하는 것"]}</x:v>
      </x:c>
      <x:c r="K8" s="26" t="str">
        <x:v>{"prompt":"1초 간격으로 위치가 0, 6, 10, 12, 13 m로 측정되었다. 위치와 속도가 각각 증가·일정·감소 중 무엇인지 고르시오.","answer":"위치는 증가, 속도는 감소","explanation":"위치는 계속 커지지만 1초당 변위가 6, 4, 2, 1 m로 줄어들어 속도는 감소한다.","inputMode":"choice","acceptableAnswers":["위치 증가·속도 감소","3"],"choices":["위치 증가·속도 증가","위치 증가·속도 일정","위치 증가·속도 감소","위치 감소·속도 감소"]}</x:v>
      </x:c>
      <x:c r="L8" s="26" t="str">
        <x:v>verified</x:v>
      </x:c>
      <x:c r="M8" s="26" t="str"/>
      <x:c r="N8" s="26" t="str">
        <x:v>{"page":1,"crop":[55,1490,675,420]}</x:v>
      </x:c>
    </x:row>
    <x:row r="9">
      <x:c r="A9" s="26" t="str">
        <x:v>physics1-basic-r02</x:v>
      </x:c>
      <x:c r="B9" s="26" t="n">
        <x:v>5</x:v>
      </x:c>
      <x:c r="C9" s="26" t="str">
        <x:v>subjective</x:v>
      </x:c>
      <x:c r="D9" s="26" t="n">
        <x:v>10</x:v>
      </x:c>
      <x:c r="E9" s="26" t="str">
        <x:v>운동의 기술</x:v>
      </x:c>
      <x:c r="F9" s="26" t="str">
        <x:v>평균 속력과 평균 속도</x:v>
      </x:c>
      <x:c r="G9" s="26" t="str">
        <x:v>하</x:v>
      </x:c>
      <x:c r="H9" s="26" t="str">
        <x:v>{"answer":"총 이동 거리는 20 m, 총 시간은 10 s이므로 평균 속력은 2 m/s이다. 출발점으로 돌아와 총 변위가 0이므로 평균 속도의 크기는 0 m/s이다."}</x:v>
      </x:c>
      <x:c r="I9" s="26" t="str">
        <x:v>[{"criterion":"평균 속력 2 m/s","points":5},{"criterion":"평균 속도 크기 0 m/s","points":5}]</x:v>
      </x:c>
      <x:c r="J9" s="26" t="str">
        <x:v>{"steps":["평균 속력은 총 이동 거리/총 시간이다.","평균 속도는 총 변위/총 시간이다."],"formulas":["평균 속력=총 이동 거리/총 시간","평균 속도=총 변위/총 시간"],"commonMistakes":["왕복 거리 20 m 대신 한쪽 거리 10 m만 쓰는 것","평균 속력과 평균 속도를 같은 값으로 쓰는 것"]}</x:v>
      </x:c>
      <x:c r="K9" s="26" t="str">
        <x:v>{"prompt":"A와 B가 15 m 떨어져 있다. A에서 B까지 3 s, B에서 A까지 2 s가 걸렸다. 왕복 평균 속력과 평균 속도의 크기를 구하시오.","answer":"평균 속력 6 m/s, 평균 속도 크기 0 m/s","explanation":"총 이동 거리 30 m, 총 시간 5 s이므로 6 m/s이다. 최종 위치가 출발점과 같아 변위는 0이다.","inputMode":"text","acceptableAnswers":["6,0","6 m/s, 0 m/s","평균속력 6 평균속도 0"]}</x:v>
      </x:c>
      <x:c r="L9" s="26" t="str">
        <x:v>verified</x:v>
      </x:c>
      <x:c r="M9" s="26" t="str"/>
      <x:c r="N9" s="26" t="str">
        <x:v>{"page":1,"crop":[760,205,670,440]}</x:v>
      </x:c>
    </x:row>
    <x:row r="10">
      <x:c r="A10" s="26" t="str">
        <x:v>physics1-basic-r02</x:v>
      </x:c>
      <x:c r="B10" s="26" t="n">
        <x:v>6</x:v>
      </x:c>
      <x:c r="C10" s="26" t="str">
        <x:v>subjective</x:v>
      </x:c>
      <x:c r="D10" s="26" t="n">
        <x:v>10</x:v>
      </x:c>
      <x:c r="E10" s="26" t="str">
        <x:v>운동의 기술</x:v>
      </x:c>
      <x:c r="F10" s="26" t="str">
        <x:v>왕복 평균 속력</x:v>
      </x:c>
      <x:c r="G10" s="26" t="str">
        <x:v>중</x:v>
      </x:c>
      <x:c r="H10" s="26" t="str">
        <x:v>{"answer":"왕복 거리를 편도 d라 두면 전체 시간은 d/10+d/30=2d/15이다. 총 거리는 2d이므로 평균 속력은 2d÷(2d/15)=15 m/s이다."}</x:v>
      </x:c>
      <x:c r="I10" s="26" t="str">
        <x:v>[{"criterion":"방향·부호·적용 조건 설정","points":2},{"criterion":"핵심 식 전개","points":3},{"criterion":"수치 계산","points":3},{"criterion":"최종값·단위·해석","points":2}]</x:v>
      </x:c>
      <x:c r="J10" s="26" t="str">
        <x:v>{"steps":["같은 거리를 서로 다른 속력으로 왕복할 때는 산술평균이 아니라 조화평균을 사용한다."],"formulas":["v_avg=2v₁v₂/(v₁+v₂)"],"commonMistakes":["(10+30)/2=20 m/s로 계산하는 것","시간이 느린 구간에서 더 오래 걸린다는 점을 무시하는 것"]}</x:v>
      </x:c>
      <x:c r="K10" s="26" t="str">
        <x:v>{"prompt":"같은 거리를 갈 때 12 m/s, 돌아올 때 24 m/s로 이동했다. 왕복 평균 속력을 구하시오.","answer":"16 m/s","explanation":"2×12×24/(12+24)=576/36=16 m/s이다.","inputMode":"text","acceptableAnswers":["16","16m/s","16 m/s"]}</x:v>
      </x:c>
      <x:c r="L10" s="26" t="str">
        <x:v>verified</x:v>
      </x:c>
      <x:c r="M10" s="26" t="str"/>
      <x:c r="N10" s="26" t="str">
        <x:v>{"page":1,"crop":[760,620,670,310]}</x:v>
      </x:c>
    </x:row>
    <x:row r="11">
      <x:c r="A11" s="26" t="str">
        <x:v>physics1-basic-r02</x:v>
      </x:c>
      <x:c r="B11" s="26" t="n">
        <x:v>7</x:v>
      </x:c>
      <x:c r="C11" s="26" t="str">
        <x:v>subjective</x:v>
      </x:c>
      <x:c r="D11" s="26" t="n">
        <x:v>20</x:v>
      </x:c>
      <x:c r="E11" s="26" t="str">
        <x:v>운동의 기술</x:v>
      </x:c>
      <x:c r="F11" s="26" t="str">
        <x:v>순간속도와 평균속도의 그래프 비교</x:v>
      </x:c>
      <x:c r="G11" s="26" t="str">
        <x:v>중</x:v>
      </x:c>
      <x:c r="H11" s="26" t="str">
        <x:v>{"answer":"t₁에서 접선의 기울기는 A가 가장 크고 C가 가장 작으므로 순간속도는 A&gt;B&gt;C이다. 세 물체는 0에서 출발해 t₁에서 같은 위치에 있으므로 0~t₁ 평균속도는 A=B=C이다."}</x:v>
      </x:c>
      <x:c r="I11" s="26" t="str">
        <x:v>[{"criterion":"순간속도 A&gt;B&gt;C","points":10},{"criterion":"평균속도 A=B=C","points":10}]</x:v>
      </x:c>
      <x:c r="J11" s="26" t="str">
        <x:v>{"steps":["s-t 그래프의 순간 기울기=순간속도","평균속도=두 끝점을 잇는 할선의 기울기"],"formulas":["v(t₁)=ds/dt","v_avg=[s(t₁)-s(0)]/t₁"],"commonMistakes":["곡선의 높이만 보고 순간속도를 비교하는 것","평균속도를 곡선 아래 넓이로 계산하는 것"]}</x:v>
      </x:c>
      <x:c r="K11" s="26" t="str">
        <x:v>{"prompt":"세 물체 P,Q,R의 s-t 그래프가 원점에서 시작해 t=4 s에 모두 s=20 m에서 만난다. 그 순간 접선 기울기는 각각 8, 5, 2 m/s이다. 순간속도와 0~4 s 평균속도를 비교하시오.","answer":"순간속도 P&gt;Q&gt;R, 평균속도 P=Q=R=5 m/s","explanation":"순간속도는 주어진 접선 기울기이고, 평균속도는 모두 20/4=5 m/s이다.","inputMode":"text","acceptableAnswers":["P&gt;Q&gt;R, P=Q=R","P&gt;Q&gt;R 평균 같음"]}</x:v>
      </x:c>
      <x:c r="L11" s="26" t="str">
        <x:v>verified</x:v>
      </x:c>
      <x:c r="M11" s="26" t="str"/>
      <x:c r="N11" s="26" t="str">
        <x:v>{"page":1,"crop":[760,920,670,570]}</x:v>
      </x:c>
    </x:row>
    <x:row r="12">
      <x:c r="A12" s="26" t="str">
        <x:v>physics1-basic-r02</x:v>
      </x:c>
      <x:c r="B12" s="26" t="n">
        <x:v>8</x:v>
      </x:c>
      <x:c r="C12" s="26" t="str">
        <x:v>subjective</x:v>
      </x:c>
      <x:c r="D12" s="26" t="n">
        <x:v>10</x:v>
      </x:c>
      <x:c r="E12" s="26" t="str">
        <x:v>운동의 기술</x:v>
      </x:c>
      <x:c r="F12" s="26" t="str">
        <x:v>가속도-시간 그래프 적분</x:v>
      </x:c>
      <x:c r="G12" s="26" t="str">
        <x:v>중</x:v>
      </x:c>
      <x:c r="H12" s="26" t="str">
        <x:v>{"answer":"0~2 s: a=2이므로 v는 0→4 m/s, 변위는 (0+4)/2×2=4 m. 2~4 s: v=4 m/s로 변위 8 m. 4~6 s: a=-4이므로 v는 4→-4 m/s, 평균속도가 0이라 순변위는 0. 총 변위는 12 m이다."}</x:v>
      </x:c>
      <x:c r="I12" s="26" t="str">
        <x:v>[{"criterion":"방향·부호·적용 조건 설정","points":2},{"criterion":"핵심 식 전개","points":3},{"criterion":"수치 계산","points":3},{"criterion":"최종값·단위·해석","points":2}]</x:v>
      </x:c>
      <x:c r="J12" s="26" t="str">
        <x:v>{"steps":["a-t 그래프를 적분하면 속도 변화량이다.","각 구간 변위는 v-t 그래프의 부호 있는 넓이이다."],"formulas":["Δv=∫a dt","Δs=∫v dt"],"commonMistakes":["마지막 구간의 이동 거리를 변위에 그대로 더하는 것","가속도 그래프의 넓이를 바로 변위로 보는 것"]}</x:v>
      </x:c>
      <x:c r="K12" s="26" t="str">
        <x:v>{"prompt":"정지한 물체의 가속도가 0~3 s에는 2 m/s², 3~5 s에는 0, 5~7 s에는 -3 m/s²이다. 7 s까지 총 변위를 구하시오.","answer":"27 m","explanation":"0~3 s 변위 9 m, 3~5 s 변위 12 m, 5~7 s 속도 6→0이므로 변위 6 m. 합은 27 m이다.","inputMode":"text","acceptableAnswers":["27","27m","27 m"]}</x:v>
      </x:c>
      <x:c r="L12" s="26" t="str">
        <x:v>verified</x:v>
      </x:c>
      <x:c r="M12" s="26" t="str"/>
      <x:c r="N12" s="26" t="str">
        <x:v>{"page":1,"crop":[760,1490,670,430]}</x:v>
      </x:c>
    </x:row>
    <x:row r="13">
      <x:c r="A13" s="26" t="str">
        <x:v>physics1-basic-r03</x:v>
      </x:c>
      <x:c r="B13" s="26" t="n">
        <x:v>1</x:v>
      </x:c>
      <x:c r="C13" s="26" t="str">
        <x:v>subjective</x:v>
      </x:c>
      <x:c r="D13" s="26" t="n">
        <x:v>15</x:v>
      </x:c>
      <x:c r="E13" s="26" t="str">
        <x:v>운동의 기술</x:v>
      </x:c>
      <x:c r="F13" s="26" t="str">
        <x:v>v-t 그래프와 평균량 비교</x:v>
      </x:c>
      <x:c r="G13" s="26" t="str">
        <x:v>중</x:v>
      </x:c>
      <x:c r="H13" s="26" t="str">
        <x:v>{"answer":"① 5초 순간속도: A=B=C=20 m/s. ② 0~5초 평균속도: C&gt;B&gt;A. ③ 0~5초 평균가속도: A=B=C=4 m/s²."}</x:v>
      </x:c>
      <x:c r="I13" s="26" t="str">
        <x:v>[{"criterion":"5초 순간속도 A=B=C","points":5},{"criterion":"평균속도 C&gt;B&gt;A","points":5},{"criterion":"평균가속도 A=B=C","points":5}]</x:v>
      </x:c>
      <x:c r="J13" s="26" t="str">
        <x:v>{"steps":["순간속도는 v-t 그래프의 세로값이므로 세 곡선이 만나는 5초에서는 모두 같다.","평균속도는 v-t 그래프 아래 넓이를 시간으로 나눈 값이다. 같은 끝점을 잇는 직선 B보다 위에 있는 C의 넓이가 크고, 아래에 있는 A의 넓이가 작다.","평균가속도는 (v_f-v_i)/Δt이며 세 물체의 처음·끝 속도가 같으므로 모두 같다."],"formulas":["v_avg=(1/Δt)∫vdt","a_avg=(v_f-v_i)/Δt"],"commonMistakes":["v-t 그래프에서 평균속도를 단순히 (처음속도+나중속도)/2로 계산하는 것(등가속도일 때만 가능)","곡선의 기울기와 속도 값을 혼동하는 것"]}</x:v>
      </x:c>
      <x:c r="K13" s="26" t="str">
        <x:v>{"prompt":"세 물체 P,Q,R의 v-t 그래프가 (0,0)과 (4 s,16 m/s)를 잇는다. P는 직선 아래, Q는 직선, R은 직선 위에 놓인다. 4초 순간속도·평균속도·평균가속도를 비교하시오.","answer":"순간속도 P=Q=R, 평균속도 R&gt;Q&gt;P, 평균가속도 P=Q=R","explanation":"끝점의 세로값과 속도 변화량은 같고, 평균속도만 그래프 아래 넓이에 따라 달라진다.","inputMode":"text","acceptableAnswers":["P=Q=R, R&gt;Q&gt;P, P=Q=R","순간 같음 평균 R&gt;Q&gt;P 가속도 같음"]}</x:v>
      </x:c>
      <x:c r="L13" s="26" t="str">
        <x:v>verified</x:v>
      </x:c>
      <x:c r="M13" s="26" t="str"/>
      <x:c r="N13" s="26" t="str">
        <x:v>{"page":1,"crop":[55,190,675,570]}</x:v>
      </x:c>
    </x:row>
    <x:row r="14">
      <x:c r="A14" s="26" t="str">
        <x:v>physics1-basic-r03</x:v>
      </x:c>
      <x:c r="B14" s="26" t="n">
        <x:v>2</x:v>
      </x:c>
      <x:c r="C14" s="26" t="str">
        <x:v>subjective</x:v>
      </x:c>
      <x:c r="D14" s="26" t="n">
        <x:v>15</x:v>
      </x:c>
      <x:c r="E14" s="26" t="str">
        <x:v>벡터</x:v>
      </x:c>
      <x:c r="F14" s="26" t="str">
        <x:v>벡터의 합과 차</x:v>
      </x:c>
      <x:c r="G14" s="26" t="str">
        <x:v>중</x:v>
      </x:c>
      <x:c r="H14" s="26" t="str">
        <x:v>{"answer":"그림의 한 변 방향 성분을 1이라 두면 A=(-1,0), B=(-1,1), C=(0,1), D=(1,1), E=(1,0), F=(1,-1), G=(0,-1), H=(-1,-1)이다. 따라서 ① B+E=C, ② D-F=2C, ③ C+E-D=0벡터."}</x:v>
      </x:c>
      <x:c r="I14" s="26" t="str">
        <x:v>[{"criterion":"B+E=C","points":5},{"criterion":"D-F=2C","points":5},{"criterion":"C+E-D=0벡터","points":5}]</x:v>
      </x:c>
      <x:c r="J14" s="26" t="str">
        <x:v>{"steps":["벡터는 화살표의 끝점 좌표를 성분으로 나타내면 합과 차를 바로 계산할 수 있다.","대각선 벡터의 크기는 축 방향 벡터보다 √2배이지만 각 성분은 축 방향 벡터와 같다."],"formulas":["(x₁,y₁)+(x₂,y₂)=(x₁+x₂,y₁+y₂)","벡터의 뺄셈은 반대 벡터를 더하는 것"],"commonMistakes":["벡터의 크기만 더하고 방향을 무시하는 것","D-F를 F-D로 계산하는 것"]}</x:v>
      </x:c>
      <x:c r="K14" s="26" t="str">
        <x:v>{"prompt":"정사각형 중심에서 오른쪽을 E, 위를 N, 오른쪽 위 대각선을 NE, 오른쪽 아래 대각선을 SE라 하자. ① NE+W ② NE-SE ③ N+E-NE를 구하시오. 단, 대각선 벡터의 각 성분은 축 벡터 1개와 같다.","answer":"① N ② 2N ③ 0벡터","explanation":"NE=(1,1), W=(-1,0), SE=(1,-1), N=(0,1), E=(1,0)로 두고 성분별로 계산한다.","inputMode":"text","acceptableAnswers":["N,2N,0","위, 위의 2배, 0"]}</x:v>
      </x:c>
      <x:c r="L14" s="26" t="str">
        <x:v>corrected</x:v>
      </x:c>
      <x:c r="M14" s="26" t="str">
        <x:v>문제 본문은 'B, D, F, G의 크기'라고 적혀 있으나 그림의 대칭과 의도상 마지막 G는 H가 타당하다. 사이트에는 'B, D, F, H'로 교정해 적용한다.</x:v>
      </x:c>
      <x:c r="N14" s="26" t="str">
        <x:v>{"page":1,"crop":[55,760,675,610]}</x:v>
      </x:c>
    </x:row>
    <x:row r="15">
      <x:c r="A15" s="26" t="str">
        <x:v>physics1-basic-r03</x:v>
      </x:c>
      <x:c r="B15" s="26" t="n">
        <x:v>3</x:v>
      </x:c>
      <x:c r="C15" s="26" t="str">
        <x:v>subjective</x:v>
      </x:c>
      <x:c r="D15" s="26" t="n">
        <x:v>10</x:v>
      </x:c>
      <x:c r="E15" s="26" t="str">
        <x:v>벡터</x:v>
      </x:c>
      <x:c r="F15" s="26" t="str">
        <x:v>상대속도</x:v>
      </x:c>
      <x:c r="G15" s="26" t="str">
        <x:v>중</x:v>
      </x:c>
      <x:c r="H15" s="26" t="str">
        <x:v>{"answer":"동쪽을 +x, 북쪽을 +y로 두면 사람 속도는 (10,0), 남풍의 공기 속도는 (0,10)이다. 사람이 느끼는 바람은 v_air-v_person=(-10,10)이므로 속력은 10√2 m/s, 방향은 북서쪽이다(즉 남동쪽에서 불어오는 바람)."}</x:v>
      </x:c>
      <x:c r="I15" s="26" t="str">
        <x:v>[{"criterion":"방향·부호·적용 조건 설정","points":2},{"criterion":"핵심 식 전개","points":3},{"criterion":"수치 계산","points":3},{"criterion":"최종값·단위·해석","points":2}]</x:v>
      </x:c>
      <x:c r="J15" s="26" t="str">
        <x:v>{"steps":["'남풍'은 남쪽에서 북쪽으로 부는 바람이다.","상대속도는 관찰 대상의 속도에서 관찰자의 속도를 뺀다."],"formulas":["v_rel=v_air-v_person","|(-10,10)|=10√2"],"commonMistakes":["남풍을 남쪽으로 부는 바람으로 해석하는 것","사람 속도와 바람 속도를 그냥 더하는 것"]}</x:v>
      </x:c>
      <x:c r="K15" s="26" t="str">
        <x:v>{"prompt":"북쪽으로 6 m/s로 달리는 사람에게 서풍이 8 m/s로 분다. 사람이 느끼는 바람의 속력과 진행 방향을 구하시오.","answer":"10 m/s, 남동쪽","explanation":"서풍의 공기 속도는 동쪽 8 m/s이다. 상대속도=(8,0)-(0,6)=(8,-6)이므로 크기는 10 m/s, 흐름 방향은 남동쪽이다(북서쪽에서 불어오는 바람).","inputMode":"text","acceptableAnswers":["10 남동","10m/s 남동쪽","남동쪽 10"]}</x:v>
      </x:c>
      <x:c r="L15" s="26" t="str">
        <x:v>verified</x:v>
      </x:c>
      <x:c r="M15" s="26" t="str">
        <x:v>동형 문제의 방향 표현은 벡터가 향하는 방향(공기 흐름 방향)을 기준으로 한다.</x:v>
      </x:c>
      <x:c r="N15" s="26" t="str">
        <x:v>{"page":1,"crop":[55,1380,675,400]}</x:v>
      </x:c>
    </x:row>
    <x:row r="16">
      <x:c r="A16" s="26" t="str">
        <x:v>physics1-basic-r03</x:v>
      </x:c>
      <x:c r="B16" s="26" t="n">
        <x:v>4</x:v>
      </x:c>
      <x:c r="C16" s="26" t="str">
        <x:v>subjective</x:v>
      </x:c>
      <x:c r="D16" s="26" t="n">
        <x:v>10</x:v>
      </x:c>
      <x:c r="E16" s="26" t="str">
        <x:v>운동의 기술</x:v>
      </x:c>
      <x:c r="F16" s="26" t="str">
        <x:v>시간기록계 분석</x:v>
      </x:c>
      <x:c r="G16" s="26" t="str">
        <x:v>중</x:v>
      </x:c>
      <x:c r="H16" s="26" t="str">
        <x:v>{"answer":"5타점 구간을 0.10 s로 보면 A→D 시간은 0.30 s, 이동 거리는 2+4+6=12 cm=0.12 m이므로 평균속도는 0.40 m/s이다. 각 구간 평균속도는 0.20, 0.40, 0.60 m/s이고 첫·셋째 구간의 중간 시각 차가 0.20 s이므로 평균가속도는 (0.60-0.20)/0.20=2.0 m/s²이다."}</x:v>
      </x:c>
      <x:c r="I16" s="26" t="str">
        <x:v>[{"criterion":"평균속도 0.40 m/s","points":5},{"criterion":"평균가속도 2.0 m/s²","points":5}]</x:v>
      </x:c>
      <x:c r="J16" s="26" t="str">
        <x:v>{"steps":["50 Hz 시간기록계의 한 타점 간격은 0.02 s이다.","5타점 간격은 수업 관례상 5개의 시간 간격, 즉 0.10 s로 해석한다."],"formulas":["v_avg=총거리/총시간","a_avg=Δv/Δt"],"commonMistakes":["점의 개수와 점 사이 간격의 개수를 혼동하는 것","cm를 m로 바꾸지 않는 것","가속도 계산에서 AB와 CD 속도의 시각 차를 0.3 s로 두는 것"]}</x:v>
      </x:c>
      <x:c r="K16" s="26" t="str">
        <x:v>{"prompt":"50 Hz 시간기록계에서 5타점 간격의 이동 거리가 차례로 3 cm, 5 cm, 7 cm였다. 첫 구간 시작부터 셋째 구간 끝까지 평균속도와 평균가속도를 구하시오.","answer":"평균속도 0.50 m/s, 평균가속도 2.0 m/s²","explanation":"총 15 cm를 0.30 s에 이동해 평균속도는 0.50 m/s이다. 구간 속도는 0.30,0.50,0.70 m/s이고 첫·셋째 구간 중심 시각 차 0.20 s이므로 가속도는 2.0 m/s²이다.","inputMode":"text","acceptableAnswers":["0.5,2","0.50 m/s, 2.0 m/s²"]}</x:v>
      </x:c>
      <x:c r="L16" s="26" t="str">
        <x:v>verified</x:v>
      </x:c>
      <x:c r="M16" s="26" t="str"/>
      <x:c r="N16" s="26" t="str">
        <x:v>{"page":1,"crop":[760,190,670,500]}</x:v>
      </x:c>
    </x:row>
    <x:row r="17">
      <x:c r="A17" s="26" t="str">
        <x:v>physics1-basic-r03</x:v>
      </x:c>
      <x:c r="B17" s="26" t="n">
        <x:v>5</x:v>
      </x:c>
      <x:c r="C17" s="26" t="str">
        <x:v>subjective</x:v>
      </x:c>
      <x:c r="D17" s="26" t="n">
        <x:v>20</x:v>
      </x:c>
      <x:c r="E17" s="26" t="str">
        <x:v>운동의 기술</x:v>
      </x:c>
      <x:c r="F17" s="26" t="str">
        <x:v>등가속도 운동과 방향 전환</x:v>
      </x:c>
      <x:c r="G17" s="26" t="str">
        <x:v>중</x:v>
      </x:c>
      <x:c r="H17" s="26" t="str">
        <x:v>{"answer":"① a=(-2-4)/3=-2 m/s². ② v=4-2t=0에서 t=2 s. ③ 가속도는 계속 음의 방향이므로 속도가 음수가 되는 2&lt;t≤3 s에서 같은 방향. ④ x=4t-t²이고 t=2 s에서 최대이므로 x_max=4 m."}</x:v>
      </x:c>
      <x:c r="I17" s="26" t="str">
        <x:v>[{"criterion":"가속도 -2 m/s²","points":5},{"criterion":"정지 시각 2 s","points":5},{"criterion":"같은 방향 구간 2&lt;t≤3 s","points":5},{"criterion":"최대 변위 4 m","points":5}]</x:v>
      </x:c>
      <x:c r="J17" s="26" t="str">
        <x:v>{"steps":["속도가 0이 되는 시점이 방향 전환 시점이다.","위치의 극값은 v=dx/dt=0일 때 나타난다."],"formulas":["v=v₀+at","x=v₀t+½at²"],"commonMistakes":["속력과 속도의 부호를 혼동하는 것","t=3 s의 변위를 최대 변위로 쓰는 것","v=0인 순간에도 방향이 있다고 보는 것"]}</x:v>
      </x:c>
      <x:c r="K17" s="26" t="str">
        <x:v>{"prompt":"처음속도 6 m/s인 물체가 a=-3 m/s²로 0~4 s 동안 운동한다. ① 정지 시각 ② 속도와 가속도의 방향이 같은 구간 ③ 원점으로부터 최대 변위를 구하시오.","answer":"① 2 s ② 2&lt;t≤4 s ③ 6 m","explanation":"v=6-3t이므로 2 s에 0이다. 이후 v와 a가 모두 음수이다. x=6t-1.5t²의 최대는 t=2 s에서 6 m이다.","inputMode":"text","acceptableAnswers":["2, 2&lt;t&lt;=4, 6","2s,2~4s,6m"]}</x:v>
      </x:c>
      <x:c r="L17" s="26" t="str">
        <x:v>verified</x:v>
      </x:c>
      <x:c r="M17" s="26" t="str"/>
      <x:c r="N17" s="26" t="str">
        <x:v>{"page":1,"crop":[760,680,670,535]}</x:v>
      </x:c>
    </x:row>
    <x:row r="18">
      <x:c r="A18" s="26" t="str">
        <x:v>physics1-basic-r03</x:v>
      </x:c>
      <x:c r="B18" s="26" t="n">
        <x:v>6</x:v>
      </x:c>
      <x:c r="C18" s="26" t="str">
        <x:v>subjective</x:v>
      </x:c>
      <x:c r="D18" s="26" t="n">
        <x:v>15</x:v>
      </x:c>
      <x:c r="E18" s="26" t="str">
        <x:v>운동의 기술</x:v>
      </x:c>
      <x:c r="F18" s="26" t="str">
        <x:v>등가속도 공식</x:v>
      </x:c>
      <x:c r="G18" s="26" t="str">
        <x:v>중</x:v>
      </x:c>
      <x:c r="H18" s="26" t="str">
        <x:v>{"answer":"① 30²-10²=2a·40에서 a=10 m/s². ② 정지 상태에서 10 m/s가 될 때 t=10/10=1 s, 이동 거리는 s=½·10·1²=5 m."}</x:v>
      </x:c>
      <x:c r="I18" s="26" t="str">
        <x:v>[{"criterion":"가속도 10 m/s²","points":5},{"criterion":"10 m/s까지 시간 1 s","points":5},{"criterion":"그때까지 거리 5 m","points":5}]</x:v>
      </x:c>
      <x:c r="J18" s="26" t="str">
        <x:v>{"steps":["시간이 직접 주어지지 않은 구간은 v²-v₀²=2as를 사용한다.","처음부터 10 m/s까지는 정지 상태에서 같은 가속도로 운동한다."],"formulas":["v²-v₀²=2as","v=v₀+at","s=½at² (v₀=0)"],"commonMistakes":["40 m 구간을 처음 정지 시점부터의 거리로 보는 것","가속도를 구한 뒤 초기 구간에서 v₀=10을 쓰는 것"]}</x:v>
      </x:c>
      <x:c r="K18" s="26" t="str">
        <x:v>{"prompt":"정지한 열차가 일정한 가속도로 움직인다. 속도가 8 m/s인 순간부터 48 m를 더 간 뒤 16 m/s가 되었다. 가속도와 8 m/s가 될 때까지의 시간·거리를 구하시오.","answer":"a=2 m/s², 시간 4 s, 거리 16 m","explanation":"16²-8²=2a·48에서 a=2이다. 정지에서 8 m/s까지 t=4 s, s=½·2·4²=16 m이다.","inputMode":"text","acceptableAnswers":["2,4,16","2m/s2,4s,16m"]}</x:v>
      </x:c>
      <x:c r="L18" s="26" t="str">
        <x:v>verified</x:v>
      </x:c>
      <x:c r="M18" s="26" t="str"/>
      <x:c r="N18" s="26" t="str">
        <x:v>{"page":1,"crop":[760,1210,670,460]}</x:v>
      </x:c>
    </x:row>
    <x:row r="19">
      <x:c r="A19" s="26" t="str">
        <x:v>physics1-basic-r03</x:v>
      </x:c>
      <x:c r="B19" s="26" t="n">
        <x:v>7</x:v>
      </x:c>
      <x:c r="C19" s="26" t="str">
        <x:v>subjective</x:v>
      </x:c>
      <x:c r="D19" s="26" t="n">
        <x:v>15</x:v>
      </x:c>
      <x:c r="E19" s="26" t="str">
        <x:v>운동의 기술</x:v>
      </x:c>
      <x:c r="F19" s="26" t="str">
        <x:v>s-t에서 v-t 정성 추론</x:v>
      </x:c>
      <x:c r="G19" s="26" t="str">
        <x:v>중</x:v>
      </x:c>
      <x:c r="H19" s="26" t="str">
        <x:v>{"answer":"처음에는 s가 증가하므로 v&gt;0, 최고점에서는 접선 기울기가 0이므로 v=0, 이후 s가 감소하므로 v&lt;0이다. 곡선의 기울기가 계속 작아지는 모양이므로 v-t 그래프는 양수에서 0을 지나 음수로 내려가는 형태이다. 다만 원문 곡선만으로 v가 정확히 직선인지, 가속도가 일정한지는 확정할 수 없다."}</x:v>
      </x:c>
      <x:c r="I19" s="26" t="str">
        <x:v>[{"criterion":"초기 v&gt;0","points":3},{"criterion":"최고점에서 v=0","points":3},{"criterion":"이후 v&lt;0","points":3},{"criterion":"감속·정지·방향 전환 설명","points":4},{"criterion":"정확한 직선성을 단정하지 않음","points":2}]</x:v>
      </x:c>
      <x:c r="J19" s="26" t="str">
        <x:v>{"steps":["s-t 그래프의 기울기가 v이다.","위치가 최대인 순간 물체는 잠시 정지한 뒤 반대 방향으로 움직인다."],"formulas":["v=ds/dt"],"commonMistakes":["반원처럼 보인다는 이유로 정확한 함수식을 임의로 정하는 것","위치가 감소하는 구간을 속력 감소로 해석하는 것"]}</x:v>
      </x:c>
      <x:c r="K19" s="26" t="str">
        <x:v>{"prompt":"물체의 s-t 그래프가 처음에는 증가하되 기울기가 줄어들어 t=3 s에 최대가 되고, 이후 감소하며 기울기의 절댓값이 커진다. v의 부호와 운동 상태를 서술하시오.","answer":"0~3 s에는 v&gt;0이며 감속, 3 s에 v=0, 이후 v&lt;0이며 반대 방향으로 가속된다.","explanation":"위치 그래프의 기울기 부호가 운동 방향을, 기울기 절댓값이 속력을 나타낸다.","inputMode":"text","acceptableAnswers":["v&gt;0, v=0, v&lt;0","정방향 감속 정지 역방향 가속"]}</x:v>
      </x:c>
      <x:c r="L19" s="26" t="str">
        <x:v>ambiguous</x:v>
      </x:c>
      <x:c r="M19" s="26" t="str">
        <x:v>원문에는 축 눈금과 함수식이 없어 정확한 v-t 곡선의 모양(직선 여부)은 하나로 정해지지 않는다. 사이트에서는 부호와 정성적 변화만 공개하고, 정확한 개형은 '확인 필요'로 표시한다.</x:v>
      </x:c>
      <x:c r="N19" s="26" t="str">
        <x:v>{"page":1,"crop":[760,1650,670,310]}</x:v>
      </x:c>
    </x:row>
    <x:row r="20">
      <x:c r="A20" s="26" t="str">
        <x:v>physics1-basic-r04</x:v>
      </x:c>
      <x:c r="B20" s="26" t="n">
        <x:v>1</x:v>
      </x:c>
      <x:c r="C20" s="26" t="str">
        <x:v>subjective</x:v>
      </x:c>
      <x:c r="D20" s="26" t="n">
        <x:v>10</x:v>
      </x:c>
      <x:c r="E20" s="26" t="str">
        <x:v>힘과 운동</x:v>
      </x:c>
      <x:c r="F20" s="26" t="str">
        <x:v>자유낙하</x:v>
      </x:c>
      <x:c r="G20" s="26" t="str">
        <x:v>하</x:v>
      </x:c>
      <x:c r="H20" s="26" t="str">
        <x:v>{"answer":"공기 저항을 무시하고 g=10 m/s²로 두면 320=½·10·t²이므로 t²=64, t=8 s이다."}</x:v>
      </x:c>
      <x:c r="I20" s="26" t="str">
        <x:v>[{"criterion":"방향·부호·적용 조건 설정","points":2},{"criterion":"핵심 식 전개","points":3},{"criterion":"수치 계산","points":3},{"criterion":"최종값·단위·해석","points":2}]</x:v>
      </x:c>
      <x:c r="J20" s="26" t="str">
        <x:v>{"steps":["자유낙하에서 처음속도가 0이면 h=½gt²이다."],"formulas":["h=½gt²","t=√(2h/g)"],"commonMistakes":["320/10=32 s로 계산하는 것","문제에 없는 수평 운동을 고려하는 것"]}</x:v>
      </x:c>
      <x:c r="K20" s="26" t="str">
        <x:v>{"prompt":"높이 180 m에서 물체를 가만히 떨어뜨렸다. g=10 m/s², 공기 저항 무시. 바닥까지 걸리는 시간을 구하시오.","answer":"6 s","explanation":"180=5t²이므로 t²=36, t=6 s이다.","inputMode":"text","acceptableAnswers":["6","6s","6 s"]}</x:v>
      </x:c>
      <x:c r="L20" s="26" t="str">
        <x:v>corrected</x:v>
      </x:c>
      <x:c r="M20" s="26" t="str">
        <x:v>원문에 중력가속도와 공기 저항 무시 조건이 빠져 있다. 수업 표준 조건 g=10 m/s², 공기 저항 무시를 보완해 적용한다.</x:v>
      </x:c>
      <x:c r="N20" s="26" t="str">
        <x:v>{"page":1,"crop":[55,185,675,215]}</x:v>
      </x:c>
    </x:row>
    <x:row r="21">
      <x:c r="A21" s="26" t="str">
        <x:v>physics1-basic-r04</x:v>
      </x:c>
      <x:c r="B21" s="26" t="n">
        <x:v>2</x:v>
      </x:c>
      <x:c r="C21" s="26" t="str">
        <x:v>subjective</x:v>
      </x:c>
      <x:c r="D21" s="26" t="n">
        <x:v>10</x:v>
      </x:c>
      <x:c r="E21" s="26" t="str">
        <x:v>힘과 운동</x:v>
      </x:c>
      <x:c r="F21" s="26" t="str">
        <x:v>힘의 평형</x:v>
      </x:c>
      <x:c r="G21" s="26" t="str">
        <x:v>하</x:v>
      </x:c>
      <x:c r="H21" s="26" t="str">
        <x:v>{"answer":"비행기가 등속운동하므로 수평방향 알짜힘은 0이다. 따라서 추진력 5000 N과 반대 방향의 공기 저항력은 5000 N이다."}</x:v>
      </x:c>
      <x:c r="I21" s="26" t="str">
        <x:v>[{"criterion":"방향·부호·적용 조건 설정","points":2},{"criterion":"핵심 식 전개","points":3},{"criterion":"수치 계산","points":3},{"criterion":"최종값·단위·해석","points":2}]</x:v>
      </x:c>
      <x:c r="J21" s="26" t="str">
        <x:v>{"steps":["등속 직선운동이면 가속도가 0이고 알짜힘도 0이다.","무게 10000 N은 수직방향 양력과 평형을 이룬다."],"formulas":["ΣF=ma=0"],"commonMistakes":["무게와 추진력을 합성하는 것","등속운동인데 알짜힘이 추진력과 같다고 보는 것"]}</x:v>
      </x:c>
      <x:c r="K21" s="26" t="str">
        <x:v>{"prompt":"자동차가 수평 도로에서 20 m/s로 등속 주행하며 엔진이 1800 N의 추진력을 낸다. 저항력의 크기를 구하시오.","answer":"1800 N","explanation":"등속운동이므로 수평 알짜힘이 0이라 추진력과 저항력이 같다.","inputMode":"text","acceptableAnswers":["1800","1800N","1800 N"]}</x:v>
      </x:c>
      <x:c r="L21" s="26" t="str">
        <x:v>verified</x:v>
      </x:c>
      <x:c r="M21" s="26" t="str"/>
      <x:c r="N21" s="26" t="str">
        <x:v>{"page":1,"crop":[55,385,675,230]}</x:v>
      </x:c>
    </x:row>
    <x:row r="22">
      <x:c r="A22" s="26" t="str">
        <x:v>physics1-basic-r04</x:v>
      </x:c>
      <x:c r="B22" s="26" t="n">
        <x:v>3</x:v>
      </x:c>
      <x:c r="C22" s="26" t="str">
        <x:v>subjective</x:v>
      </x:c>
      <x:c r="D22" s="26" t="n">
        <x:v>10</x:v>
      </x:c>
      <x:c r="E22" s="26" t="str">
        <x:v>힘과 운동</x:v>
      </x:c>
      <x:c r="F22" s="26" t="str">
        <x:v>벡터 합력과 가속도</x:v>
      </x:c>
      <x:c r="G22" s="26" t="str">
        <x:v>하</x:v>
      </x:c>
      <x:c r="H22" s="26" t="str">
        <x:v>{"answer":"두 힘이 서로 수직이므로 합력은 √(6²+8²)=10 N이다. 질량이 2 kg이므로 a=F_net/m=10/2=5 m/s²이다."}</x:v>
      </x:c>
      <x:c r="I22" s="26" t="str">
        <x:v>[{"criterion":"방향·부호·적용 조건 설정","points":2},{"criterion":"핵심 식 전개","points":3},{"criterion":"수치 계산","points":3},{"criterion":"최종값·단위·해석","points":2}]</x:v>
      </x:c>
      <x:c r="J22" s="26" t="str">
        <x:v>{"steps":["수직인 두 힘은 피타고라스 정리로 합성한다."],"formulas":["F_net=√(F₁²+F₂²)","a=F_net/m"],"commonMistakes":["힘 6+8=14 N로 단순 합산하는 것","질량을 곱하는 것"]}</x:v>
      </x:c>
      <x:c r="K22" s="26" t="str">
        <x:v>{"prompt":"질량 5 kg 물체에 서로 수직인 9 N과 12 N의 힘이 작용한다. 가속도 크기를 구하시오.","answer":"3 m/s²","explanation":"합력은 15 N이고 a=15/5=3 m/s²이다.","inputMode":"text","acceptableAnswers":["3","3m/s2","3 m/s²"]}</x:v>
      </x:c>
      <x:c r="L22" s="26" t="str">
        <x:v>verified</x:v>
      </x:c>
      <x:c r="M22" s="26" t="str"/>
      <x:c r="N22" s="26" t="str">
        <x:v>{"page":1,"crop":[55,600,675,285]}</x:v>
      </x:c>
    </x:row>
    <x:row r="23">
      <x:c r="A23" s="26" t="str">
        <x:v>physics1-basic-r04</x:v>
      </x:c>
      <x:c r="B23" s="26" t="n">
        <x:v>4</x:v>
      </x:c>
      <x:c r="C23" s="26" t="str">
        <x:v>subjective</x:v>
      </x:c>
      <x:c r="D23" s="26" t="n">
        <x:v>10</x:v>
      </x:c>
      <x:c r="E23" s="26" t="str">
        <x:v>힘과 운동</x:v>
      </x:c>
      <x:c r="F23" s="26" t="str">
        <x:v>작용·반작용과 운동량</x:v>
      </x:c>
      <x:c r="G23" s="26" t="str">
        <x:v>중</x:v>
      </x:c>
      <x:c r="H23" s="26" t="str">
        <x:v>{"answer":"두 사람이 서로 미는 동안 받은 충격량의 크기가 같으므로 운동량 크기도 같다. t=2 s에서 철수 8 m/s, 영희 12 m/s이므로 m_철수·8=50·12. 따라서 m_철수=75 kg이다."}</x:v>
      </x:c>
      <x:c r="I23" s="26" t="str">
        <x:v>[{"criterion":"방향·부호·적용 조건 설정","points":2},{"criterion":"핵심 식 전개","points":3},{"criterion":"수치 계산","points":3},{"criterion":"최종값·단위·해석","points":2}]</x:v>
      </x:c>
      <x:c r="J23" s="26" t="str">
        <x:v>{"steps":["서로 미는 힘은 작용·반작용으로 크기가 같고 작용 시간도 같아 충격량 크기가 같다."],"formulas":["m₁v₁=m₂v₂ (처음 전체 운동량 0)"],"commonMistakes":["속력이 큰 사람이 질량도 크다고 판단하는 것","그래프의 두 속력을 바꾸어 읽는 것"]}</x:v>
      </x:c>
      <x:c r="K23" s="26" t="str">
        <x:v>{"prompt":"정지한 두 스케이트 선수가 서로 밀었다. 60 kg인 A가 3 m/s, B가 2 m/s로 반대 방향으로 움직였다. B의 질량을 구하시오.","answer":"90 kg","explanation":"처음 운동량이 0이므로 60·3=m_B·2, m_B=90 kg이다.","inputMode":"text","acceptableAnswers":["90","90kg","90 kg"]}</x:v>
      </x:c>
      <x:c r="L23" s="26" t="str">
        <x:v>verified</x:v>
      </x:c>
      <x:c r="M23" s="26" t="str"/>
      <x:c r="N23" s="26" t="str">
        <x:v>{"page":1,"crop":[55,865,675,360]}</x:v>
      </x:c>
    </x:row>
    <x:row r="24">
      <x:c r="A24" s="26" t="str">
        <x:v>physics1-basic-r04</x:v>
      </x:c>
      <x:c r="B24" s="26" t="n">
        <x:v>5</x:v>
      </x:c>
      <x:c r="C24" s="26" t="str">
        <x:v>subjective</x:v>
      </x:c>
      <x:c r="D24" s="26" t="n">
        <x:v>15</x:v>
      </x:c>
      <x:c r="E24" s="26" t="str">
        <x:v>힘과 운동</x:v>
      </x:c>
      <x:c r="F24" s="26" t="str">
        <x:v>작용·반작용과 힘의 평형</x:v>
      </x:c>
      <x:c r="G24" s="26" t="str">
        <x:v>중</x:v>
      </x:c>
      <x:c r="H24" s="26" t="str">
        <x:v>{"answer":"작용·반작용 관계는 가-다(책상이 물체를 미는 힘 ↔ 물체가 책상을 누르는 힘), 나-라(지구가 물체를 당기는 힘 ↔ 물체가 지구를 당기는 힘)이다. 물체에 작용하면서 서로 평형을 이루는 힘은 가-나이다."}</x:v>
      </x:c>
      <x:c r="I24" s="26" t="str">
        <x:v>[{"criterion":"가-다 작용·반작용","points":5},{"criterion":"나-라 작용·반작용","points":5},{"criterion":"가-나 힘의 평형","points":5}]</x:v>
      </x:c>
      <x:c r="J24" s="26" t="str">
        <x:v>{"steps":["작용·반작용은 서로 다른 물체에 작용한다.","힘의 평형은 같은 물체에 작용하는 힘들의 합이 0인 상태이다."],"formulas":["작용·반작용: F_AB=-F_BA","평형: ΣF=0"],"commonMistakes":["가와 나를 작용·반작용이라고 쓰는 것","다와 라처럼 서로 관련 없는 힘을 묶는 것"]}</x:v>
      </x:c>
      <x:c r="K24" s="26" t="str">
        <x:v>{"prompt":"천장에 매달린 전등에 대해 ① 줄이 전등을 위로 당기는 힘 ② 지구가 전등을 아래로 당기는 힘 ③ 전등이 줄을 아래로 당기는 힘 ④ 전등이 지구를 위로 당기는 힘이 있다. 작용·반작용 쌍과 평형 쌍을 쓰시오.","answer":"작용·반작용: ①-③, ②-④. 평형: ①-②.","explanation":"서로 다른 물체에 작용하는 쌍은 작용·반작용이고, 전등 하나에 작용해 합이 0인 ①과 ②가 평형이다.","inputMode":"text","acceptableAnswers":["1-3,2-4,1-2","①③ ②④ 평형①②"]}</x:v>
      </x:c>
      <x:c r="L24" s="26" t="str">
        <x:v>verified</x:v>
      </x:c>
      <x:c r="M24" s="26" t="str"/>
      <x:c r="N24" s="26" t="str">
        <x:v>{"page":1,"crop":[55,1210,675,700]}</x:v>
      </x:c>
    </x:row>
    <x:row r="25">
      <x:c r="A25" s="26" t="str">
        <x:v>physics1-basic-r04</x:v>
      </x:c>
      <x:c r="B25" s="26" t="n">
        <x:v>6</x:v>
      </x:c>
      <x:c r="C25" s="26" t="str">
        <x:v>subjective</x:v>
      </x:c>
      <x:c r="D25" s="26" t="n">
        <x:v>10</x:v>
      </x:c>
      <x:c r="E25" s="26" t="str">
        <x:v>힘과 운동</x:v>
      </x:c>
      <x:c r="F25" s="26" t="str">
        <x:v>평형과 장력</x:v>
      </x:c>
      <x:c r="G25" s="26" t="str">
        <x:v>중</x:v>
      </x:c>
      <x:c r="H25" s="26" t="str">
        <x:v>{"answer":"실이 연직과 60°이므로 장력의 연직성분은 Tcos60°. 평형에서 Tcos60°=12 N이므로 T=24 N이다."}</x:v>
      </x:c>
      <x:c r="I25" s="26" t="str">
        <x:v>[{"criterion":"방향·부호·적용 조건 설정","points":2},{"criterion":"핵심 식 전개","points":3},{"criterion":"수치 계산","points":3},{"criterion":"최종값·단위·해석","points":2}]</x:v>
      </x:c>
      <x:c r="J25" s="26" t="str">
        <x:v>{"steps":["수평 힘 F는 장력의 수평성분과 평형을 이룬다.","무게는 장력의 연직성분과 평형을 이룬다."],"formulas":["Tcos60°=W"],"commonMistakes":["60°를 수평선과의 각으로 해석해 sin, cos를 바꾸는 것","T=12 N로 쓰는 것"]}</x:v>
      </x:c>
      <x:c r="K25" s="26" t="str">
        <x:v>{"prompt":"무게 20 N인 물체가 실에 매달려 있고, 수평 힘 때문에 실이 연직과 60°를 이룬 채 정지했다. 장력을 구하시오.","answer":"40 N","explanation":"Tcos60°=20이므로 T=40 N이다.","inputMode":"text","acceptableAnswers":["40","40N","40 N"]}</x:v>
      </x:c>
      <x:c r="L25" s="26" t="str">
        <x:v>verified</x:v>
      </x:c>
      <x:c r="M25" s="26" t="str"/>
      <x:c r="N25" s="26" t="str">
        <x:v>{"page":1,"crop":[760,185,670,420]}</x:v>
      </x:c>
    </x:row>
    <x:row r="26">
      <x:c r="A26" s="26" t="str">
        <x:v>physics1-basic-r04</x:v>
      </x:c>
      <x:c r="B26" s="26" t="n">
        <x:v>7</x:v>
      </x:c>
      <x:c r="C26" s="26" t="str">
        <x:v>subjective</x:v>
      </x:c>
      <x:c r="D26" s="26" t="n">
        <x:v>15</x:v>
      </x:c>
      <x:c r="E26" s="26" t="str">
        <x:v>힘과 운동</x:v>
      </x:c>
      <x:c r="F26" s="26" t="str">
        <x:v>두 줄의 장력 평형</x:v>
      </x:c>
      <x:c r="G26" s="26" t="str">
        <x:v>상</x:v>
      </x:c>
      <x:c r="H26" s="26" t="str">
        <x:v>{"answer":"왼쪽 장력을 T_A, 오른쪽 장력을 T_B라 하면 수평평형에서 T_Acos60°=T_Bcos30°, 따라서 T_A=√3T_B. 연직평형에서 T_Asin60°+T_Bsin30°=40. 대입하면 2T_B=40이므로 T_B=20 N, T_A=20√3 N이다."}</x:v>
      </x:c>
      <x:c r="I26" s="26" t="str">
        <x:v>[{"criterion":"수평 평형식","points":4},{"criterion":"연직 평형식","points":4},{"criterion":"A줄 20√3 N","points":4},{"criterion":"B줄 20 N","points":3}]</x:v>
      </x:c>
      <x:c r="J26" s="26" t="str">
        <x:v>{"steps":["각도는 수평 천장과 이루는 각이다.","수평성분은 상쇄되고 연직성분 합이 무게와 같다."],"formulas":["T_Acos60=T_Bcos30","T_Asin60+T_Bsin30=40"],"commonMistakes":["두 줄의 장력이 같다고 두는 것","각도에 대한 sin과 cos 성분을 바꾸는 것"]}</x:v>
      </x:c>
      <x:c r="K26" s="26" t="str">
        <x:v>{"prompt":"무게 60 N인 물체를 두 줄이 수평선과 각각 30°, 60°를 이루며 지지한다. 30° 줄의 장력과 60° 줄의 장력을 구하시오.","answer":"30° 줄: 30 N, 60° 줄: 30√3 N","explanation":"수평평형과 연직평형을 연립한다. 60° 줄의 장력이 √3배 크고, 연직성분 합이 60 N이다.","inputMode":"text","acceptableAnswers":["30,30sqrt3","30N,30√3N"]}</x:v>
      </x:c>
      <x:c r="L26" s="26" t="str">
        <x:v>verified</x:v>
      </x:c>
      <x:c r="M26" s="26" t="str"/>
      <x:c r="N26" s="26" t="str">
        <x:v>{"page":1,"crop":[760,590,670,405]}</x:v>
      </x:c>
    </x:row>
    <x:row r="27">
      <x:c r="A27" s="26" t="str">
        <x:v>physics1-basic-r04</x:v>
      </x:c>
      <x:c r="B27" s="26" t="n">
        <x:v>8</x:v>
      </x:c>
      <x:c r="C27" s="26" t="str">
        <x:v>subjective</x:v>
      </x:c>
      <x:c r="D27" s="26" t="n">
        <x:v>10</x:v>
      </x:c>
      <x:c r="E27" s="26" t="str">
        <x:v>힘과 운동</x:v>
      </x:c>
      <x:c r="F27" s="26" t="str">
        <x:v>경사면의 힘 분해</x:v>
      </x:c>
      <x:c r="G27" s="26" t="str">
        <x:v>하</x:v>
      </x:c>
      <x:c r="H27" s="26" t="str">
        <x:v>{"answer":"마찰이 없는 경사면에서 정지하므로 경사면 방향으로 T=mg sinθ, 경사면에 수직한 방향으로 N=mg cosθ이다."}</x:v>
      </x:c>
      <x:c r="I27" s="26" t="str">
        <x:v>[{"criterion":"장력 mg sinθ","points":5},{"criterion":"수직항력 mg cosθ","points":5}]</x:v>
      </x:c>
      <x:c r="J27" s="26" t="str">
        <x:v>{"steps":["중력을 경사면 평행·수직 성분으로 분해한다."],"formulas":["mg∥=mg sinθ","mg⊥=mg cosθ"],"commonMistakes":["T와 N을 서로 바꾸는 것","마찰력 가능성을 고려하지 않고도 조건이 충분하다고 보는 것"]}</x:v>
      </x:c>
      <x:c r="K27" s="26" t="str">
        <x:v>{"prompt":"마찰 없는 30° 경사면에 질량 4 kg 물체를 경사면과 나란한 줄로 묶어 정지시켰다. g=10 m/s². 장력과 수직항력을 구하시오.","answer":"T=20 N, N=20√3 N","explanation":"T=mg sin30=20 N, N=mg cos30=20√3 N이다.","inputMode":"text","acceptableAnswers":["20,20sqrt3","20N,20√3N"]}</x:v>
      </x:c>
      <x:c r="L27" s="26" t="str">
        <x:v>corrected</x:v>
      </x:c>
      <x:c r="M27" s="26" t="str">
        <x:v>원문에는 마찰 유무가 명시되지 않았다. 그림과 예상 답이 하나로 정해지도록 '경사면은 매끄럽다(마찰 없음)'를 보완해 적용한다.</x:v>
      </x:c>
      <x:c r="N27" s="26" t="str">
        <x:v>{"page":1,"crop":[760,980,670,500]}</x:v>
      </x:c>
    </x:row>
    <x:row r="28">
      <x:c r="A28" s="26" t="str">
        <x:v>physics1-basic-r04</x:v>
      </x:c>
      <x:c r="B28" s="26" t="n">
        <x:v>9</x:v>
      </x:c>
      <x:c r="C28" s="26" t="str">
        <x:v>subjective</x:v>
      </x:c>
      <x:c r="D28" s="26" t="n">
        <x:v>10</x:v>
      </x:c>
      <x:c r="E28" s="26" t="str">
        <x:v>힘과 운동</x:v>
      </x:c>
      <x:c r="F28" s="26" t="str">
        <x:v>접촉력</x:v>
      </x:c>
      <x:c r="G28" s="26" t="str">
        <x:v>중</x:v>
      </x:c>
      <x:c r="H28" s="26" t="str">
        <x:v>{"answer":"수평면이 매끄럽다고 보면 전체 질량은 3 kg, 가속도는 6/3=2 m/s²이다. 1 kg 물체를 가속시키는 수평힘은 접촉력뿐이므로 접촉력은 1·2=2 N이다."}</x:v>
      </x:c>
      <x:c r="I28" s="26" t="str">
        <x:v>[{"criterion":"방향·부호·적용 조건 설정","points":2},{"criterion":"핵심 식 전개","points":3},{"criterion":"수치 계산","points":3},{"criterion":"최종값·단위·해석","points":2}]</x:v>
      </x:c>
      <x:c r="J28" s="26" t="str">
        <x:v>{"steps":["전체를 한 덩어리로 보아 가속도를 먼저 구한다.","접촉력은 한 물체만 떼어 자유물체도로 구한다."],"formulas":["a=F/(m₁+m₂)","F_contact=m₂a"],"commonMistakes":["접촉력을 6 N이라고 하는 것","2 kg 물체의 질량을 곱해 4 N이라고 하는 것"]}</x:v>
      </x:c>
      <x:c r="K28" s="26" t="str">
        <x:v>{"prompt":"매끄러운 수평면에서 3 kg과 2 kg 상자가 붙어 있다. 3 kg 상자를 15 N으로 민다. 두 상자 사이 접촉력을 구하시오.","answer":"6 N","explanation":"전체 가속도는 15/5=3 m/s²이고, 2 kg 상자에 필요한 힘은 2·3=6 N이다.","inputMode":"text","acceptableAnswers":["6","6N","6 N"]}</x:v>
      </x:c>
      <x:c r="L28" s="26" t="str">
        <x:v>corrected</x:v>
      </x:c>
      <x:c r="M28" s="26" t="str">
        <x:v>원문에 마찰 조건이 없다. 수치가 하나로 정해지도록 수평면은 매끄럽다고 보완한다.</x:v>
      </x:c>
      <x:c r="N28" s="26" t="str">
        <x:v>{"page":1,"crop":[760,1470,670,450]}</x:v>
      </x:c>
    </x:row>
    <x:row r="29">
      <x:c r="A29" s="26" t="str">
        <x:v>physics1-basic-r05</x:v>
      </x:c>
      <x:c r="B29" s="26" t="n">
        <x:v>1</x:v>
      </x:c>
      <x:c r="C29" s="26" t="str">
        <x:v>subjective</x:v>
      </x:c>
      <x:c r="D29" s="26" t="n">
        <x:v>5</x:v>
      </x:c>
      <x:c r="E29" s="26" t="str">
        <x:v>힘과 운동</x:v>
      </x:c>
      <x:c r="F29" s="26" t="str">
        <x:v>최대 정지마찰력</x:v>
      </x:c>
      <x:c r="G29" s="26" t="str">
        <x:v>하</x:v>
      </x:c>
      <x:c r="H29" s="26" t="str">
        <x:v>{"answer":"수평면에서 N=mg=4×10=40 N. 최대 정지마찰력은 f_s,max=μ_sN=0.5×40=20 N이다."}</x:v>
      </x:c>
      <x:c r="I29" s="26" t="str">
        <x:v>[{"criterion":"핵심 식 또는 물리 관계 설정","points":2},{"criterion":"수치 대입과 계산","points":2},{"criterion":"최종값·단위","points":1}]</x:v>
      </x:c>
      <x:c r="J29" s="26" t="str">
        <x:v>{"steps":["움직이기 직전 필요한 최소 힘은 최대 정지마찰력과 같다."],"formulas":["f_s,max=μ_sN"],"commonMistakes":["μ_smg에서 질량이나 g를 빼먹는 것","20 N을 넘겨야 움직인다는 의미와 임계값 20 N을 혼동하는 것"]}</x:v>
      </x:c>
      <x:c r="K29" s="26" t="str">
        <x:v>{"prompt":"정지마찰계수 0.4인 수평면에 질량 5 kg 물체가 있다. g=10 m/s². 움직이기 직전 필요한 수평힘을 구하시오.","answer":"20 N","explanation":"N=50 N, f_s,max=0.4×50=20 N이다.","inputMode":"text","acceptableAnswers":["20","20N","20 N"]}</x:v>
      </x:c>
      <x:c r="L29" s="26" t="str">
        <x:v>verified</x:v>
      </x:c>
      <x:c r="M29" s="26" t="str"/>
      <x:c r="N29" s="26" t="str">
        <x:v>{"page":1,"crop":[55,180,675,340]}</x:v>
      </x:c>
    </x:row>
    <x:row r="30">
      <x:c r="A30" s="26" t="str">
        <x:v>physics1-basic-r05</x:v>
      </x:c>
      <x:c r="B30" s="26" t="n">
        <x:v>2</x:v>
      </x:c>
      <x:c r="C30" s="26" t="str">
        <x:v>subjective</x:v>
      </x:c>
      <x:c r="D30" s="26" t="n">
        <x:v>5</x:v>
      </x:c>
      <x:c r="E30" s="26" t="str">
        <x:v>힘과 운동</x:v>
      </x:c>
      <x:c r="F30" s="26" t="str">
        <x:v>정지·운동 마찰 전환</x:v>
      </x:c>
      <x:c r="G30" s="26" t="str">
        <x:v>중</x:v>
      </x:c>
      <x:c r="H30" s="26" t="str">
        <x:v>{"answer":"최대 정지마찰력은 0.2×100=20 N이므로 22 N에서는 움직인다. 운동마찰력은 0.1×100=10 N, 알짜힘은 12 N이므로 a=12/10=1.2 m/s²이다."}</x:v>
      </x:c>
      <x:c r="I30" s="26" t="str">
        <x:v>[{"criterion":"핵심 식 또는 물리 관계 설정","points":2},{"criterion":"수치 대입과 계산","points":2},{"criterion":"최종값·단위","points":1}]</x:v>
      </x:c>
      <x:c r="J30" s="26" t="str">
        <x:v>{"steps":["가한 힘이 최대 정지마찰력을 넘는지 먼저 판단한다."],"formulas":["f_s,max=μ_smg","f_k=μ_kmg","a=(F-f_k)/m"],"commonMistakes":["22-20으로 알짜힘을 계산하는 것","움직인 뒤에도 정지마찰계수를 쓰는 것"]}</x:v>
      </x:c>
      <x:c r="K30" s="26" t="str">
        <x:v>{"prompt":"질량 8 kg, μ_s=0.25, μ_k=0.15인 물체를 24 N으로 당긴다. g=10. 가속도를 구하시오.","answer":"1.5 m/s²","explanation":"최대 정지마찰력 20 N보다 24 N이 크므로 움직인다. 운동마찰력 12 N, 알짜힘 12 N, a=1.5 m/s².","inputMode":"text","acceptableAnswers":["1.5","1.5m/s2","1.5 m/s²"]}</x:v>
      </x:c>
      <x:c r="L30" s="26" t="str">
        <x:v>verified</x:v>
      </x:c>
      <x:c r="M30" s="26" t="str"/>
      <x:c r="N30" s="26" t="str">
        <x:v>{"page":1,"crop":[55,485,675,320]}</x:v>
      </x:c>
    </x:row>
    <x:row r="31">
      <x:c r="A31" s="26" t="str">
        <x:v>physics1-basic-r05</x:v>
      </x:c>
      <x:c r="B31" s="26" t="n">
        <x:v>3</x:v>
      </x:c>
      <x:c r="C31" s="26" t="str">
        <x:v>subjective</x:v>
      </x:c>
      <x:c r="D31" s="26" t="n">
        <x:v>5</x:v>
      </x:c>
      <x:c r="E31" s="26" t="str">
        <x:v>힘과 운동</x:v>
      </x:c>
      <x:c r="F31" s="26" t="str">
        <x:v>정지마찰력의 자기 조절</x:v>
      </x:c>
      <x:c r="G31" s="26" t="str">
        <x:v>하</x:v>
      </x:c>
      <x:c r="H31" s="26" t="str">
        <x:v>{"answer":"18 N은 최대 정지마찰력 20 N보다 작다. 정지마찰력이 18 N으로 맞서므로 알짜힘 0, 가속도 0 m/s²이다."}</x:v>
      </x:c>
      <x:c r="I31" s="26" t="str">
        <x:v>[{"criterion":"핵심 식 또는 물리 관계 설정","points":2},{"criterion":"수치 대입과 계산","points":2},{"criterion":"최종값·단위","points":1}]</x:v>
      </x:c>
      <x:c r="J31" s="26" t="str">
        <x:v>{"steps":["정지마찰력은 항상 μ_sN이 아니라 필요한 만큼, 최대값 이하에서 생긴다."],"formulas":["0≤f_s≤μ_sN"],"commonMistakes":["정지마찰력을 무조건 20 N으로 놓아 왼쪽 가속도를 만드는 것","운동마찰력 10 N을 적용하는 것"]}</x:v>
      </x:c>
      <x:c r="K31" s="26" t="str">
        <x:v>{"prompt":"최대 정지마찰력이 30 N인 물체를 24 N으로 민다. 가속도와 정지마찰력 크기를 구하시오.","answer":"가속도 0, 정지마찰력 24 N","explanation":"물체는 정지하고 정지마찰력이 가한 힘과 같은 24 N으로 평형을 만든다.","inputMode":"text","acceptableAnswers":["0,24","0m/s2,24N"]}</x:v>
      </x:c>
      <x:c r="L31" s="26" t="str">
        <x:v>verified</x:v>
      </x:c>
      <x:c r="M31" s="26" t="str"/>
      <x:c r="N31" s="26" t="str">
        <x:v>{"page":1,"crop":[55,750,675,230]}</x:v>
      </x:c>
    </x:row>
    <x:row r="32">
      <x:c r="A32" s="26" t="str">
        <x:v>physics1-basic-r05</x:v>
      </x:c>
      <x:c r="B32" s="26" t="n">
        <x:v>4</x:v>
      </x:c>
      <x:c r="C32" s="26" t="str">
        <x:v>subjective</x:v>
      </x:c>
      <x:c r="D32" s="26" t="n">
        <x:v>5</x:v>
      </x:c>
      <x:c r="E32" s="26" t="str">
        <x:v>힘과 운동</x:v>
      </x:c>
      <x:c r="F32" s="26" t="str">
        <x:v>수직 벽의 정지마찰</x:v>
      </x:c>
      <x:c r="G32" s="26" t="str">
        <x:v>하</x:v>
      </x:c>
      <x:c r="H32" s="26" t="str">
        <x:v>{"answer":"벽돌이 미끄러지지 않고 정지하므로 연직방향에서 정지마찰력이 무게 100 N을 위로 평형시킨다. 따라서 f_s=100 N이다."}</x:v>
      </x:c>
      <x:c r="I32" s="26" t="str">
        <x:v>[{"criterion":"핵심 식 또는 물리 관계 설정","points":2},{"criterion":"수치 대입과 계산","points":2},{"criterion":"최종값·단위","points":1}]</x:v>
      </x:c>
      <x:c r="J32" s="26" t="str">
        <x:v>{"steps":["정지마찰력의 실제 크기는 평형에 필요한 값이다.","300 N은 수직항력을 결정하지만 마찰계수가 없으므로 최대값은 계산할 수 없다."],"formulas":["ΣF_y=0 → f_s=W"],"commonMistakes":["f_s=μN을 쓰려고 임의의 μ를 만드는 것","누르는 힘 300 N을 마찰력으로 답하는 것"]}</x:v>
      </x:c>
      <x:c r="K32" s="26" t="str">
        <x:v>{"prompt":"무게 80 N인 상자를 벽에 눌러 정지시켰다. 미끄러지지 않는다면 상자에 작용하는 정지마찰력 크기는?","answer":"80 N","explanation":"연직 평형 때문에 마찰력이 무게와 같은 80 N이다.","inputMode":"text","acceptableAnswers":["80","80N","80 N"]}</x:v>
      </x:c>
      <x:c r="L32" s="26" t="str">
        <x:v>verified</x:v>
      </x:c>
      <x:c r="M32" s="26" t="str"/>
      <x:c r="N32" s="26" t="str">
        <x:v>{"page":1,"crop":[55,955,675,390]}</x:v>
      </x:c>
    </x:row>
    <x:row r="33">
      <x:c r="A33" s="26" t="str">
        <x:v>physics1-basic-r05</x:v>
      </x:c>
      <x:c r="B33" s="26" t="n">
        <x:v>5</x:v>
      </x:c>
      <x:c r="C33" s="26" t="str">
        <x:v>subjective</x:v>
      </x:c>
      <x:c r="D33" s="26" t="n">
        <x:v>5</x:v>
      </x:c>
      <x:c r="E33" s="26" t="str">
        <x:v>힘과 운동</x:v>
      </x:c>
      <x:c r="F33" s="26" t="str">
        <x:v>비스듬한 힘과 수직항력</x:v>
      </x:c>
      <x:c r="G33" s="26" t="str">
        <x:v>중</x:v>
      </x:c>
      <x:c r="H33" s="26" t="str">
        <x:v>{"answer":"연직방향 가속도가 없으므로 N+100sin60°-100=0. 따라서 N=100-50√3 N≈13.4 N이다."}</x:v>
      </x:c>
      <x:c r="I33" s="26" t="str">
        <x:v>[{"criterion":"핵심 식 또는 물리 관계 설정","points":2},{"criterion":"수치 대입과 계산","points":2},{"criterion":"최종값·단위","points":1}]</x:v>
      </x:c>
      <x:c r="J33" s="26" t="str">
        <x:v>{"steps":["위로 당기는 힘의 연직성분이 수직항력을 줄인다."],"formulas":["N=mg-Fsinθ"],"commonMistakes":["Fcos60을 연직성분으로 쓰는 것","수직항력을 무조건 mg로 두는 것"]}</x:v>
      </x:c>
      <x:c r="K33" s="26" t="str">
        <x:v>{"prompt":"질량 12 kg 물체를 수평면과 30° 위 방향으로 40 N 당긴다. g=10. 수직항력을 구하시오.","answer":"100 N","explanation":"N=120-40sin30=120-20=100 N이다.","inputMode":"text","acceptableAnswers":["100","100N","100 N"]}</x:v>
      </x:c>
      <x:c r="L33" s="26" t="str">
        <x:v>verified</x:v>
      </x:c>
      <x:c r="M33" s="26" t="str"/>
      <x:c r="N33" s="26" t="str">
        <x:v>{"page":1,"crop":[55,1340,675,540]}</x:v>
      </x:c>
    </x:row>
    <x:row r="34">
      <x:c r="A34" s="26" t="str">
        <x:v>physics1-basic-r05</x:v>
      </x:c>
      <x:c r="B34" s="26" t="n">
        <x:v>6</x:v>
      </x:c>
      <x:c r="C34" s="26" t="str">
        <x:v>subjective</x:v>
      </x:c>
      <x:c r="D34" s="26" t="n">
        <x:v>10</x:v>
      </x:c>
      <x:c r="E34" s="26" t="str">
        <x:v>힘과 운동</x:v>
      </x:c>
      <x:c r="F34" s="26" t="str">
        <x:v>여러 물체의 접촉력</x:v>
      </x:c>
      <x:c r="G34" s="26" t="str">
        <x:v>상</x:v>
      </x:c>
      <x:c r="H34" s="26" t="str">
        <x:v>{"answer":"① 전체 질량 6 kg이므로 a=30/6=5 m/s². C(2 kg)에 작용하는 접촉력은 2×5=10 N. ② 'C의 오른쪽에서 12 N'의 방향이 그림에 없어 답이 하나로 정해지지 않는다. 왼쪽으로 12 N을 가하면 전체 a=(30-12)/6=3 m/s²이고 C에 대해 F_BC-12=2×3이므로 F_BC=18 N. 오른쪽으로 12 N이면 a=7 m/s², F_BC+12=14이므로 F_BC=2 N."}</x:v>
      </x:c>
      <x:c r="I34" s="26" t="str">
        <x:v>[{"criterion":"1) 공통 가속도와 접촉력 10 N","points":5},{"criterion":"2) 방향 누락 인지 또는 교사 확정 방향에 맞는 풀이","points":5}]</x:v>
      </x:c>
      <x:c r="J34" s="26" t="str">
        <x:v>{"steps":["여러 물체의 공통 가속도를 전체 계로 구한다.","접촉력은 C만 분리해 힘의 합으로 계산한다."],"formulas":["a=ΣF/(m_A+m_B+m_C)","C: ΣF=m_Ca"],"commonMistakes":["추가 12 N의 방향을 확인하지 않고 하나의 답만 쓰는 것","B와 C의 합질량 5 kg에 30 N을 나누는 것"]}</x:v>
      </x:c>
      <x:c r="K34" s="26" t="str">
        <x:v>{"prompt":"매끄러운 면에서 2 kg, 1 kg, 3 kg 블록이 차례로 붙어 있고 왼쪽 블록을 오른쪽으로 24 N 민다. 가운데 블록이 오른쪽 3 kg 블록을 미는 힘을 구하시오.","answer":"12 N","explanation":"전체 가속도는 24/6=4 m/s². 오른쪽 3 kg 블록에 필요한 힘은 3×4=12 N이다.","inputMode":"text","acceptableAnswers":["12","12N","12 N"]}</x:v>
      </x:c>
      <x:c r="L34" s="26" t="str">
        <x:v>needs-review</x:v>
      </x:c>
      <x:c r="M34" s="26" t="str">
        <x:v>2번의 추가 12 N 힘 방향 화살표가 누락되어 복수 답이 가능하다. 사이트에서는 자동 정답 공개를 보류하고 두 방향의 계산을 모두 제시한다.</x:v>
      </x:c>
      <x:c r="N34" s="26" t="str">
        <x:v>{"page":1,"crop":[760,180,670,520]}</x:v>
      </x:c>
    </x:row>
    <x:row r="35">
      <x:c r="A35" s="26" t="str">
        <x:v>physics1-basic-r05</x:v>
      </x:c>
      <x:c r="B35" s="26" t="n">
        <x:v>7</x:v>
      </x:c>
      <x:c r="C35" s="26" t="str">
        <x:v>subjective</x:v>
      </x:c>
      <x:c r="D35" s="26" t="n">
        <x:v>5</x:v>
      </x:c>
      <x:c r="E35" s="26" t="str">
        <x:v>힘과 운동</x:v>
      </x:c>
      <x:c r="F35" s="26" t="str">
        <x:v>연결된 물체와 장력</x:v>
      </x:c>
      <x:c r="G35" s="26" t="str">
        <x:v>중</x:v>
      </x:c>
      <x:c r="H35" s="26" t="str">
        <x:v>{"answer":"질량 6 kg은 수평, 4 kg은 아래로 움직인다. a=4g/(6+4)=4 m/s². 수평 물체에 T=6a이므로 T=24 N이다."}</x:v>
      </x:c>
      <x:c r="I35" s="26" t="str">
        <x:v>[{"criterion":"핵심 식 또는 물리 관계 설정","points":2},{"criterion":"수치 대입과 계산","points":2},{"criterion":"최종값·단위","points":1}]</x:v>
      </x:c>
      <x:c r="J35" s="26" t="str">
        <x:v>{"steps":["줄과 도르래의 질량을 무시하고 마찰이 없으면 두 물체 가속도 크기가 같다."],"formulas":["a=m₂g/(m₁+m₂)","T=m₁a"],"commonMistakes":["매달린 물체에 T=mg라고 두는 것","전체 질량에 4g가 아니라 10g를 힘으로 쓰는 것"]}</x:v>
      </x:c>
      <x:c r="K35" s="26" t="str">
        <x:v>{"prompt":"매끄러운 책상 위 8 kg 물체와 매달린 2 kg 물체가 줄로 연결되어 있다. g=10. 장력을 구하시오.","answer":"16 N","explanation":"a=20/10=2 m/s², T=8×2=16 N이다.","inputMode":"text","acceptableAnswers":["16","16N","16 N"]}</x:v>
      </x:c>
      <x:c r="L35" s="26" t="str">
        <x:v>corrected</x:v>
      </x:c>
      <x:c r="M35" s="26" t="str">
        <x:v>질량 없는 줄·마찰 없는 도르래를 표준 조건으로 보완한다.</x:v>
      </x:c>
      <x:c r="N35" s="26" t="str">
        <x:v>{"page":1,"crop":[760,710,670,300]}</x:v>
      </x:c>
    </x:row>
    <x:row r="36">
      <x:c r="A36" s="26" t="str">
        <x:v>physics1-basic-r05</x:v>
      </x:c>
      <x:c r="B36" s="26" t="n">
        <x:v>8</x:v>
      </x:c>
      <x:c r="C36" s="26" t="str">
        <x:v>subjective</x:v>
      </x:c>
      <x:c r="D36" s="26" t="n">
        <x:v>5</x:v>
      </x:c>
      <x:c r="E36" s="26" t="str">
        <x:v>힘과 운동</x:v>
      </x:c>
      <x:c r="F36" s="26" t="str">
        <x:v>애트우드 장치</x:v>
      </x:c>
      <x:c r="G36" s="26" t="str">
        <x:v>중</x:v>
      </x:c>
      <x:c r="H36" s="26" t="str">
        <x:v>{"answer":"가속도는 a=(6-4)g/(6+4)=2 m/s². 4 kg 물체에 대해 T-40=4×2이므로 T=48 N이다."}</x:v>
      </x:c>
      <x:c r="I36" s="26" t="str">
        <x:v>[{"criterion":"핵심 식 또는 물리 관계 설정","points":2},{"criterion":"수치 대입과 계산","points":2},{"criterion":"최종값·단위","points":1}]</x:v>
      </x:c>
      <x:c r="J36" s="26" t="str">
        <x:v>{"steps":["무거운 6 kg이 내려가고 4 kg이 올라간다."],"formulas":["a=(m₂-m₁)g/(m₁+m₂)","T=m₁(g+a)=m₂(g-a)"],"commonMistakes":["T를 두 물체 무게의 평균으로 바로 정하는 것","가속도 방향 부호를 반대로 두는 것"]}</x:v>
      </x:c>
      <x:c r="K36" s="26" t="str">
        <x:v>{"prompt":"3 kg과 7 kg이 이상적인 도르래에 매달렸다. g=10. 가속도와 장력을 구하시오.","answer":"a=4 m/s², T=42 N","explanation":"a=(7-3)10/10=4. 3 kg은 위로 가속하므로 T=3(10+4)=42 N.","inputMode":"text","acceptableAnswers":["4,42","4m/s2,42N"]}</x:v>
      </x:c>
      <x:c r="L36" s="26" t="str">
        <x:v>corrected</x:v>
      </x:c>
      <x:c r="M36" s="26" t="str">
        <x:v>질량 없는 줄·마찰 없는 도르래 조건을 보완한다.</x:v>
      </x:c>
      <x:c r="N36" s="26" t="str">
        <x:v>{"page":1,"crop":[760,1000,670,300]}</x:v>
      </x:c>
    </x:row>
    <x:row r="37">
      <x:c r="A37" s="26" t="str">
        <x:v>physics1-basic-r05</x:v>
      </x:c>
      <x:c r="B37" s="26" t="n">
        <x:v>9</x:v>
      </x:c>
      <x:c r="C37" s="26" t="str">
        <x:v>subjective</x:v>
      </x:c>
      <x:c r="D37" s="26" t="n">
        <x:v>10</x:v>
      </x:c>
      <x:c r="E37" s="26" t="str">
        <x:v>힘과 운동</x:v>
      </x:c>
      <x:c r="F37" s="26" t="str">
        <x:v>엘리베이터의 겉보기 무게</x:v>
      </x:c>
      <x:c r="G37" s="26" t="str">
        <x:v>중</x:v>
      </x:c>
      <x:c r="H37" s="26" t="str">
        <x:v>{"answer":"0~2 s 가속도는 +5 m/s², 8~10 s는 -5 m/s²이다. 최대 수직항력은 N_max=80(10+5)=1200 N, 최소는 N_min=80(10-5)=400 N. 차이는 800 N이다."}</x:v>
      </x:c>
      <x:c r="I37" s="26" t="str">
        <x:v>[{"criterion":"방향·부호·적용 조건 설정","points":2},{"criterion":"핵심 식 전개","points":3},{"criterion":"수치 계산","points":3},{"criterion":"최종값·단위·해석","points":2}]</x:v>
      </x:c>
      <x:c r="J37" s="26" t="str">
        <x:v>{"steps":["엘리베이터가 위로 움직이는지보다 가속도 방향이 중요하다.","감속하며 상승할 때 가속도는 아래쪽이다."],"formulas":["N=m(g+a_y)"],"commonMistakes":["등속 구간에서 최대라고 보는 것","하강하지 않으므로 아래 가속도가 없다고 보는 것"]}</x:v>
      </x:c>
      <x:c r="K37" s="26" t="str">
        <x:v>{"prompt":"60 kg 사람이 탄 엘리베이터가 3 s 동안 정지에서 위로 6 m/s가 된 뒤, 나중에 2 s 동안 정지한다. g=10. 최대·최소 겉보기 무게의 차를 구하시오.","answer":"300 N","explanation":"상승 가속도 2 m/s²에서 N_max=720 N, 정지시키는 아래 가속도 3 m/s²에서 N_min=420 N, 차 300 N.","inputMode":"text","acceptableAnswers":["300","300N","300 N"]}</x:v>
      </x:c>
      <x:c r="L37" s="26" t="str">
        <x:v>verified</x:v>
      </x:c>
      <x:c r="M37" s="26" t="str"/>
      <x:c r="N37" s="26" t="str">
        <x:v>{"page":1,"crop":[760,1280,670,610]}</x:v>
      </x:c>
    </x:row>
    <x:row r="38">
      <x:c r="A38" s="26" t="str">
        <x:v>physics1-basic-r05</x:v>
      </x:c>
      <x:c r="B38" s="26" t="n">
        <x:v>10</x:v>
      </x:c>
      <x:c r="C38" s="26" t="str">
        <x:v>subjective</x:v>
      </x:c>
      <x:c r="D38" s="26" t="n">
        <x:v>10</x:v>
      </x:c>
      <x:c r="E38" s="26" t="str">
        <x:v>운동의 기술</x:v>
      </x:c>
      <x:c r="F38" s="26" t="str">
        <x:v>s-t·v-t 그래프 비교</x:v>
      </x:c>
      <x:c r="G38" s="26" t="str">
        <x:v>상</x:v>
      </x:c>
      <x:c r="H38" s="26" t="str">
        <x:v>{"answer":"s-t 그래프: t₁ 순간속도 A&gt;B&gt;C, 0~t₁ 평균속도 A=B=C. v-t 그래프: t₁ 순간속도 A=B=C, 0~t₁ 평균속도 C&gt;B&gt;A."}</x:v>
      </x:c>
      <x:c r="I38" s="26" t="str">
        <x:v>[{"criterion":"s-t 순간속도 A&gt;B&gt;C","points":3},{"criterion":"v-t 순간속도 A=B=C","points":2},{"criterion":"s-t 평균속도 A=B=C","points":2},{"criterion":"v-t 평균속도 C&gt;B&gt;A","points":3}]</x:v>
      </x:c>
      <x:c r="J38" s="26" t="str">
        <x:v>{"steps":["s-t의 기울기가 속도다.","v-t의 높이가 순간속도, 넓이/시간이 평균속도다."],"formulas":["s-t: v=ds/dt","v-t: v_avg=(넓이)/t"],"commonMistakes":["두 그래프에서 같은 비교 규칙을 적용하는 것","v-t의 기울기를 순간속도로 보는 것"]}</x:v>
      </x:c>
      <x:c r="K38" s="26" t="str">
        <x:v>{"prompt":"s-t 세 곡선이 같은 끝점에서 만나고 접선 기울기가 P&gt;Q&gt;R이다. 별도의 v-t 세 곡선도 같은 끝점에서 만나며 R이 직선 위, Q가 직선, P가 직선 아래이다. 순간속도와 평균속도를 각각 비교하시오.","answer":"s-t: 순간 P&gt;Q&gt;R, 평균 P=Q=R. v-t: 순간 P=Q=R, 평균 R&gt;Q&gt;P.","explanation":"그래프 종류에 따라 세로값·기울기·넓이의 의미를 구분한다.","inputMode":"text","acceptableAnswers":["P&gt;Q&gt;R,P=Q=R;P=Q=R,R&gt;Q&gt;P"]}</x:v>
      </x:c>
      <x:c r="L38" s="26" t="str">
        <x:v>verified</x:v>
      </x:c>
      <x:c r="M38" s="26" t="str"/>
      <x:c r="N38" s="26" t="str">
        <x:v>{"page":2,"crop":[55,170,675,590]}</x:v>
      </x:c>
    </x:row>
    <x:row r="39">
      <x:c r="A39" s="26" t="str">
        <x:v>physics1-basic-r05</x:v>
      </x:c>
      <x:c r="B39" s="26" t="n">
        <x:v>11</x:v>
      </x:c>
      <x:c r="C39" s="26" t="str">
        <x:v>subjective</x:v>
      </x:c>
      <x:c r="D39" s="26" t="n">
        <x:v>5</x:v>
      </x:c>
      <x:c r="E39" s="26" t="str">
        <x:v>벡터</x:v>
      </x:c>
      <x:c r="F39" s="26" t="str">
        <x:v>상대속도</x:v>
      </x:c>
      <x:c r="G39" s="26" t="str">
        <x:v>중</x:v>
      </x:c>
      <x:c r="H39" s="26" t="str">
        <x:v>{"answer":"동쪽을 +x, 북쪽을 +y로 두면 사람은 서쪽 (-10,0), 북풍의 공기는 남쪽 (0,-10)이다. 상대속도는 (0,-10)-(-10,0)=(10,-10). 속력 10√2 m/s, 방향은 남동쪽이다(북서쪽에서 불어오는 것으로 느낀다)."}</x:v>
      </x:c>
      <x:c r="I39" s="26" t="str">
        <x:v>[{"criterion":"핵심 식 또는 물리 관계 설정","points":2},{"criterion":"수치 대입과 계산","points":2},{"criterion":"최종값·단위","points":1}]</x:v>
      </x:c>
      <x:c r="J39" s="26" t="str">
        <x:v>{"steps":["북풍은 북쪽에서 남쪽으로 분다."],"formulas":["v_rel=v_air-v_person"],"commonMistakes":["북풍을 북쪽 방향으로 해석하는 것","사람 속도를 빼지 않는 것"]}</x:v>
      </x:c>
      <x:c r="K39" s="26" t="str">
        <x:v>{"prompt":"동쪽으로 5 m/s로 달리는 사람에게 북풍이 12 m/s로 분다. 느끼는 바람의 속력과 흐름 방향은?","answer":"13 m/s, 남서쪽","explanation":"공기 속도 (0,-12)-사람 (5,0)=(-5,-12), 크기 13, 남서쪽.","inputMode":"text","acceptableAnswers":["13 남서","13m/s 남서쪽"]}</x:v>
      </x:c>
      <x:c r="L39" s="26" t="str">
        <x:v>verified</x:v>
      </x:c>
      <x:c r="M39" s="26" t="str"/>
      <x:c r="N39" s="26" t="str">
        <x:v>{"page":2,"crop":[55,800,675,300]}</x:v>
      </x:c>
    </x:row>
    <x:row r="40">
      <x:c r="A40" s="26" t="str">
        <x:v>physics1-basic-r05</x:v>
      </x:c>
      <x:c r="B40" s="26" t="n">
        <x:v>12</x:v>
      </x:c>
      <x:c r="C40" s="26" t="str">
        <x:v>subjective</x:v>
      </x:c>
      <x:c r="D40" s="26" t="n">
        <x:v>10</x:v>
      </x:c>
      <x:c r="E40" s="26" t="str">
        <x:v>운동의 기술</x:v>
      </x:c>
      <x:c r="F40" s="26" t="str">
        <x:v>시간기록계 분석</x:v>
      </x:c>
      <x:c r="G40" s="26" t="str">
        <x:v>중</x:v>
      </x:c>
      <x:c r="H40" s="26" t="str">
        <x:v>{"answer":"각 구간이 5타점=0.10 s라면 A→C 거리는 5+10=15 cm, 시간 0.20 s이므로 평균속력은 0.75 m/s. 구간 속력은 0.5, 1.0, 1.5 m/s이고 일정하게 0.1 s마다 0.5 m/s씩 증가하므로 평균가속도는 5.0 m/s²."}</x:v>
      </x:c>
      <x:c r="I40" s="26" t="str">
        <x:v>[{"criterion":"A~C 평균속력 0.75 m/s","points":5},{"criterion":"평균가속도 5.0 m/s²","points":5}]</x:v>
      </x:c>
      <x:c r="J40" s="26" t="str">
        <x:v>{"steps":["50 Hz에서 5타점 구간은 0.10 s로 사용한다.","구간 평균속력은 해당 구간 중앙 시각의 순간속력으로 근사한다."],"formulas":["v_AC=0.15/0.20","a=(1.5-0.5)/0.20"],"commonMistakes":["A→C 시간을 0.3 s로 잡는 것","cm/s 값을 m/s로 바꾸지 않는 것"]}</x:v>
      </x:c>
      <x:c r="K40" s="26" t="str">
        <x:v>{"prompt":"5타점 간격이 0.1 s인 테이프에서 연속 구간 거리가 4, 8, 12 cm이다. 첫 점부터 셋째 경계까지 평균속력과 가속도를 구하시오.","answer":"평균속력 0.60 m/s, 가속도 4.0 m/s²","explanation":"첫 두 구간 12 cm/0.2 s=0.60. 구간 속력 0.4,0.8,1.2이고 첫·셋째 중심 차 0.2 s이므로 a=4.0.","inputMode":"text","acceptableAnswers":["0.6,4","0.60m/s,4m/s2"]}</x:v>
      </x:c>
      <x:c r="L40" s="26" t="str">
        <x:v>verified</x:v>
      </x:c>
      <x:c r="M40" s="26" t="str"/>
      <x:c r="N40" s="26" t="str">
        <x:v>{"page":2,"crop":[55,1080,675,780]}</x:v>
      </x:c>
    </x:row>
    <x:row r="41">
      <x:c r="A41" s="26" t="str">
        <x:v>physics1-basic-r05</x:v>
      </x:c>
      <x:c r="B41" s="26" t="n">
        <x:v>13</x:v>
      </x:c>
      <x:c r="C41" s="26" t="str">
        <x:v>subjective</x:v>
      </x:c>
      <x:c r="D41" s="26" t="n">
        <x:v>5</x:v>
      </x:c>
      <x:c r="E41" s="26" t="str">
        <x:v>힘과 운동</x:v>
      </x:c>
      <x:c r="F41" s="26" t="str">
        <x:v>대칭 장력과 기하</x:v>
      </x:c>
      <x:c r="G41" s="26" t="str">
        <x:v>중</x:v>
      </x:c>
      <x:c r="H41" s="26" t="str">
        <x:v>{"answer":"실 전체 50 cm이므로 양쪽은 25 cm. 반쪽 밑변 20 cm와 빗변 25 cm로 높이는 15 cm이다. 각 장력의 연직성분은 T·15/25=0.6T. 2(0.6T)=0.6 N이므로 T=0.5 N이다."}</x:v>
      </x:c>
      <x:c r="I41" s="26" t="str">
        <x:v>[{"criterion":"핵심 식 또는 물리 관계 설정","points":2},{"criterion":"수치 대입과 계산","points":2},{"criterion":"최종값·단위","points":1}]</x:v>
      </x:c>
      <x:c r="J41" s="26" t="str">
        <x:v>{"steps":["대칭이므로 양쪽 장력은 같다.","3-4-5 삼각형을 이용한다."],"formulas":["2Tsinθ=W","sinθ=15/25=3/5"],"commonMistakes":["실 한쪽 길이를 50 cm로 쓰는 것","각 장력이 무게의 절반 0.3 N이라고만 하는 것(연직성분이어야 함)"]}</x:v>
      </x:c>
      <x:c r="K41" s="26" t="str">
        <x:v>{"prompt":"무게 1.2 N, 길이 60 cm 막대를 전체 길이 100 cm인 실로 양끝에서 대칭 지지한다. 각 실 부분은 50 cm이고 반쪽 밑변은 30 cm이다. 장력을 구하시오.","answer":"0.75 N","explanation":"높이는 40 cm, sinθ=40/50=0.8. 2T·0.8=1.2이므로 T=0.75 N.","inputMode":"text","acceptableAnswers":["0.75","0.75N","0.75 N"]}</x:v>
      </x:c>
      <x:c r="L41" s="26" t="str">
        <x:v>verified</x:v>
      </x:c>
      <x:c r="M41" s="26" t="str"/>
      <x:c r="N41" s="26" t="str">
        <x:v>{"page":2,"crop":[760,170,670,390]}</x:v>
      </x:c>
    </x:row>
    <x:row r="42">
      <x:c r="A42" s="26" t="str">
        <x:v>physics1-basic-r05</x:v>
      </x:c>
      <x:c r="B42" s="26" t="n">
        <x:v>14</x:v>
      </x:c>
      <x:c r="C42" s="26" t="str">
        <x:v>subjective</x:v>
      </x:c>
      <x:c r="D42" s="26" t="n">
        <x:v>10</x:v>
      </x:c>
      <x:c r="E42" s="26" t="str">
        <x:v>운동의 기술</x:v>
      </x:c>
      <x:c r="F42" s="26" t="str">
        <x:v>등가속도 이동거리</x:v>
      </x:c>
      <x:c r="G42" s="26" t="str">
        <x:v>중</x:v>
      </x:c>
      <x:c r="H42" s="26" t="str">
        <x:v>{"answer":"정지 출발 등가속도에서 v=at. v(2)=4이므로 a=2 m/s². 0~2 s 이동거리는 평균속도 2×2=4 m, 2~4 s는 평균속도 (4+8)/2=6×2=12 m이므로 3배이다."}</x:v>
      </x:c>
      <x:c r="I42" s="26" t="str">
        <x:v>[{"criterion":"거리비 3배","points":5},{"criterion":"가속도 2 m/s²","points":5}]</x:v>
      </x:c>
      <x:c r="J42" s="26" t="str">
        <x:v>{"steps":["등가속도에서 같은 길이의 시간 구간 이동거리는 평균속도로 구할 수 있다."],"formulas":["a=Δv/Δt","s=½at²"],"commonMistakes":["전체 0~4 s 거리 16 m를 0~2 s와 비교하는 것","2~4 s 거리도 8 m라고 하는 것"]}</x:v>
      </x:c>
      <x:c r="K42" s="26" t="str">
        <x:v>{"prompt":"정지 출발 자동차가 3 s에 6 m/s, 6 s에 12 m/s이다. 3~6 s 이동거리는 0~3 s의 몇 배이며 가속도는?","answer":"3배, 2 m/s²","explanation":"0~3 s 거리는 9 m, 3~6 s는 평균속도 9×3=27 m이므로 3배. a=6/3=2.","inputMode":"text","acceptableAnswers":["3,2","3배,2m/s2"]}</x:v>
      </x:c>
      <x:c r="L42" s="26" t="str">
        <x:v>verified</x:v>
      </x:c>
      <x:c r="M42" s="26" t="str"/>
      <x:c r="N42" s="26" t="str">
        <x:v>{"page":2,"crop":[760,560,670,650]}</x:v>
      </x:c>
    </x:row>
    <x:row r="43">
      <x:c r="A43" s="26" t="str">
        <x:v>physics1-basic-r05</x:v>
      </x:c>
      <x:c r="B43" s="26" t="n">
        <x:v>15</x:v>
      </x:c>
      <x:c r="C43" s="26" t="str">
        <x:v>objective</x:v>
      </x:c>
      <x:c r="D43" s="26" t="n">
        <x:v>5</x:v>
      </x:c>
      <x:c r="E43" s="26" t="str">
        <x:v>힘과 운동</x:v>
      </x:c>
      <x:c r="F43" s="26" t="str">
        <x:v>힘의 평형과 작용·반작용</x:v>
      </x:c>
      <x:c r="G43" s="26" t="str">
        <x:v>중</x:v>
      </x:c>
      <x:c r="H43" s="26" t="str">
        <x:v>{"answer":"힘의 평형에 해당하는 것은 ㄱ, ㄷ이다. ㄴ과 ㄹ은 서로 다른 물체에 작용하는 작용·반작용 쌍이다."}</x:v>
      </x:c>
      <x:c r="I43" s="26" t="str">
        <x:v>[{"criterion":"핵심 식 또는 물리 관계 설정","points":2},{"criterion":"수치 대입과 계산","points":2},{"criterion":"최종값·단위","points":1}]</x:v>
      </x:c>
      <x:c r="J43" s="26" t="str">
        <x:v>{"steps":["같은 물체에 작용하고 합력이 0인지 확인한다."],"formulas":["평형: 같은 물체, ΣF=0","작용·반작용: 서로 다른 물체"],"commonMistakes":["크기가 같고 방향이 반대면 모두 평형이라고 판단하는 것"]}</x:v>
      </x:c>
      <x:c r="K43" s="26" t="str">
        <x:v>{"prompt":"다음 중 힘의 평형을 모두 고르시오. ㄱ 정지한 책에 작용하는 중력과 책상 수직항력. ㄴ 사람이 벽을 미는 힘과 벽이 사람을 미는 힘. ㄷ 등속 낙하하는 물체의 중력과 공기저항.","answer":"ㄱ, ㄷ","explanation":"ㄱ과 ㄷ은 각각 같은 물체에 작용해 합력이 0이다. ㄴ은 작용·반작용이다.","inputMode":"choice","acceptableAnswers":["ㄱ,ㄷ","4"],"choices":["ㄱ","ㄴ","ㄷ","ㄱ,ㄷ","ㄴ,ㄷ"]}</x:v>
      </x:c>
      <x:c r="L43" s="26" t="str">
        <x:v>verified</x:v>
      </x:c>
      <x:c r="M43" s="26" t="str"/>
      <x:c r="N43" s="26" t="str">
        <x:v>{"page":2,"crop":[760,1230,670,520]}</x:v>
      </x:c>
    </x:row>
    <x:row r="44">
      <x:c r="A44" s="26" t="str">
        <x:v>physics1-basic-r06</x:v>
      </x:c>
      <x:c r="B44" s="26" t="n">
        <x:v>1</x:v>
      </x:c>
      <x:c r="C44" s="26" t="str">
        <x:v>subjective</x:v>
      </x:c>
      <x:c r="D44" s="26" t="n">
        <x:v>10</x:v>
      </x:c>
      <x:c r="E44" s="26" t="str">
        <x:v>운동량과 충격량</x:v>
      </x:c>
      <x:c r="F44" s="26" t="str">
        <x:v>운동량 보존</x:v>
      </x:c>
      <x:c r="G44" s="26" t="str">
        <x:v>하</x:v>
      </x:c>
      <x:c r="H44" s="26" t="str">
        <x:v>{"answer":"오른쪽을 +로 두면 충돌 전 운동량은 2·5+3·2=16 kg·m/s. 충돌 후는 2·2+3v. 운동량 보존으로 16=4+3v이므로 v=4 m/s(오른쪽)이다."}</x:v>
      </x:c>
      <x:c r="I44" s="26" t="str">
        <x:v>[{"criterion":"방향·부호·적용 조건 설정","points":2},{"criterion":"핵심 식 전개","points":3},{"criterion":"수치 계산","points":3},{"criterion":"최종값·단위·해석","points":2}]</x:v>
      </x:c>
      <x:c r="J44" s="26" t="str">
        <x:v>{"steps":["외력이 무시되는 짧은 충돌 동안 전체 운동량이 보존된다."],"formulas":["m_Au_A+m_Bu_B=m_Av_A+m_Bv_B"],"commonMistakes":["질량을 빼먹고 속도만 보존하는 것","충돌 후 A 속도 2 m/s를 충돌 전 값으로 잘못 읽는 것"]}</x:v>
      </x:c>
      <x:c r="K44" s="26" t="str">
        <x:v>{"prompt":"2 kg 물체가 6 m/s, 4 kg 물체가 1 m/s로 같은 방향 운동한다. 충돌 후 2 kg 물체가 2 m/s이면 4 kg 물체 속도는?","answer":"3 m/s","explanation":"초기 운동량 16, 최종 4+4v. v=3 m/s.","inputMode":"text","acceptableAnswers":["3","3m/s","3 m/s"]}</x:v>
      </x:c>
      <x:c r="L44" s="26" t="str">
        <x:v>verified</x:v>
      </x:c>
      <x:c r="M44" s="26" t="str"/>
      <x:c r="N44" s="26" t="str">
        <x:v>{"page":1,"crop":[55,180,675,430]}</x:v>
      </x:c>
    </x:row>
    <x:row r="45">
      <x:c r="A45" s="26" t="str">
        <x:v>physics1-basic-r06</x:v>
      </x:c>
      <x:c r="B45" s="26" t="n">
        <x:v>2</x:v>
      </x:c>
      <x:c r="C45" s="26" t="str">
        <x:v>subjective</x:v>
      </x:c>
      <x:c r="D45" s="26" t="n">
        <x:v>10</x:v>
      </x:c>
      <x:c r="E45" s="26" t="str">
        <x:v>운동량과 충격량</x:v>
      </x:c>
      <x:c r="F45" s="26" t="str">
        <x:v>반대 방향 충돌</x:v>
      </x:c>
      <x:c r="G45" s="26" t="str">
        <x:v>중</x:v>
      </x:c>
      <x:c r="H45" s="26" t="str">
        <x:v>{"answer":"오른쪽을 +로 두면 초기 운동량은 2·10+4·(-6)=-4. 충돌 후 A가 왼쪽 4 m/s이므로 -8+4v=-4, 따라서 v=1 m/s(오른쪽)이다."}</x:v>
      </x:c>
      <x:c r="I45" s="26" t="str">
        <x:v>[{"criterion":"방향·부호·적용 조건 설정","points":2},{"criterion":"핵심 식 전개","points":3},{"criterion":"수치 계산","points":3},{"criterion":"최종값·단위·해석","points":2}]</x:v>
      </x:c>
      <x:c r="J45" s="26" t="str">
        <x:v>{"steps":["방향이 반대인 속도는 부호가 반대다."],"formulas":["Σp_before=Σp_after"],"commonMistakes":["6 m/s를 양수로 두는 것","충돌 후 A의 왼쪽 속도에 음수 부호를 빼먹는 것"]}</x:v>
      </x:c>
      <x:c r="K45" s="26" t="str">
        <x:v>{"prompt":"3 kg A가 오른쪽 8 m/s, 5 kg B가 왼쪽 2 m/s로 충돌한다. 이후 A가 왼쪽 2 m/s이면 B의 속도는?","answer":"4 m/s 오른쪽","explanation":"초기 p=24-10=14, 최종=-6+5v. v=4 m/s.","inputMode":"text","acceptableAnswers":["4","4m/s 오른쪽","오른쪽 4"]}</x:v>
      </x:c>
      <x:c r="L45" s="26" t="str">
        <x:v>verified</x:v>
      </x:c>
      <x:c r="M45" s="26" t="str"/>
      <x:c r="N45" s="26" t="str">
        <x:v>{"page":1,"crop":[55,590,675,390]}</x:v>
      </x:c>
    </x:row>
    <x:row r="46">
      <x:c r="A46" s="26" t="str">
        <x:v>physics1-basic-r06</x:v>
      </x:c>
      <x:c r="B46" s="26" t="n">
        <x:v>3</x:v>
      </x:c>
      <x:c r="C46" s="26" t="str">
        <x:v>subjective</x:v>
      </x:c>
      <x:c r="D46" s="26" t="n">
        <x:v>20</x:v>
      </x:c>
      <x:c r="E46" s="26" t="str">
        <x:v>운동량과 충격량</x:v>
      </x:c>
      <x:c r="F46" s="26" t="str">
        <x:v>충격량·평균힘·탄성충돌</x:v>
      </x:c>
      <x:c r="G46" s="26" t="str">
        <x:v>중</x:v>
      </x:c>
      <x:c r="H46" s="26" t="str">
        <x:v>{"answer":"오른쪽을 +로 잡으면 Δp=2(-3)-2(3)=-12 kg·m/s=-12 N·s, 즉 공이 받은 충격량은 왼쪽 12 N·s. 평균힘 크기는 |I|/Δt=12/0.2=60 N. 충돌 전후 공의 속력과 운동에너지가 같아 이상적인 벽과의 완전 탄성 충돌로 본다."}</x:v>
      </x:c>
      <x:c r="I46" s="26" t="str">
        <x:v>[{"criterion":"충격량 -12 N·s","points":5},{"criterion":"평균힘 60 N","points":5},{"criterion":"완전 탄성 충돌 선택","points":4},{"criterion":"운동에너지 보존 근거","points":6}]</x:v>
      </x:c>
      <x:c r="J46" s="26" t="str">
        <x:v>{"steps":["충격량은 운동량의 변화량이며 벡터다.","공이 벽에 가한 힘은 벽이 공에 가한 힘과 크기가 같다."],"formulas":["I=Δp=m(v_f-v_i)","F_avg=I/Δt","K=½mv²"],"commonMistakes":["3-3=0으로 계산하는 것","공이 받은 충격량과 공이 벽에 준 충격량의 방향을 같게 쓰는 것","튕겨 나왔다는 이유만으로 무조건 완전 탄성이라 하는 것"]}</x:v>
      </x:c>
      <x:c r="K46" s="26" t="str">
        <x:v>{"prompt":"0.5 kg 공이 오른쪽 12 m/s로 벽에 부딪혀 0.1 s 뒤 왼쪽 8 m/s로 튕겼다. 공이 받은 충격량과 평균힘 크기, 운동에너지 손실을 구하시오.","answer":"충격량 -10 N·s(왼쪽), 평균힘 100 N, 에너지 손실 20 J","explanation":"Δp=0.5(-8-12)=-10. 평균힘 10/0.1=100. K_i=36 J, K_f=16 J라 손실 20 J.","inputMode":"text","acceptableAnswers":["-10,100,20","왼쪽10Ns,100N,20J"]}</x:v>
      </x:c>
      <x:c r="L46" s="26" t="str">
        <x:v>verified</x:v>
      </x:c>
      <x:c r="M46" s="26" t="str"/>
      <x:c r="N46" s="26" t="str">
        <x:v>{"page":1,"crop":[55,950,675,940]}</x:v>
      </x:c>
    </x:row>
    <x:row r="47">
      <x:c r="A47" s="26" t="str">
        <x:v>physics1-basic-r06</x:v>
      </x:c>
      <x:c r="B47" s="26" t="n">
        <x:v>4</x:v>
      </x:c>
      <x:c r="C47" s="26" t="str">
        <x:v>objective</x:v>
      </x:c>
      <x:c r="D47" s="26" t="n">
        <x:v>10</x:v>
      </x:c>
      <x:c r="E47" s="26" t="str">
        <x:v>운동량과 충격량</x:v>
      </x:c>
      <x:c r="F47" s="26" t="str">
        <x:v>뉴턴의 요람</x:v>
      </x:c>
      <x:c r="G47" s="26" t="str">
        <x:v>하</x:v>
      </x:c>
      <x:c r="H47" s="26" t="str">
        <x:v>{"answer":"이상적인 동일 질량·탄성 충돌에서는 들어 올린 구의 개수와 같은 4개가 반대편에서 튀어나온다."}</x:v>
      </x:c>
      <x:c r="I47" s="26" t="str">
        <x:v>[{"criterion":"방향·부호·적용 조건 설정","points":2},{"criterion":"핵심 식 전개","points":3},{"criterion":"수치 계산","points":3},{"criterion":"최종값·단위·해석","points":2}]</x:v>
      </x:c>
      <x:c r="J47" s="26" t="str">
        <x:v>{"steps":["운동량과 운동에너지를 동시에 보존해야 한다."],"formulas":["동일 질량 이상적 탄성충돌: 입력 구 수=출력 구 수"],"commonMistakes":["1개만 매우 빠르게 나간다고 보는 것","7개 전부 움직인다고 보는 것"]}</x:v>
      </x:c>
      <x:c r="K47" s="26" t="str">
        <x:v>{"prompt":"동일한 금속구 9개인 뉴턴의 요람에서 3개를 들어 놓았다가 놓으면 반대편에서 주로 몇 개가 튀어나오는가?","answer":"3개","explanation":"이상적인 경우 운동량과 에너지 보존을 동시에 만족하는 동일 개수 3개가 나온다.","inputMode":"choice","acceptableAnswers":["3개","3"],"choices":["1개","2개","3개","6개"]}</x:v>
      </x:c>
      <x:c r="L47" s="26" t="str">
        <x:v>verified</x:v>
      </x:c>
      <x:c r="M47" s="26" t="str"/>
      <x:c r="N47" s="26" t="str">
        <x:v>{"page":1,"crop":[760,180,670,440]}</x:v>
      </x:c>
    </x:row>
    <x:row r="48">
      <x:c r="A48" s="26" t="str">
        <x:v>physics1-basic-r06</x:v>
      </x:c>
      <x:c r="B48" s="26" t="n">
        <x:v>5</x:v>
      </x:c>
      <x:c r="C48" s="26" t="str">
        <x:v>subjective</x:v>
      </x:c>
      <x:c r="D48" s="26" t="n">
        <x:v>20</x:v>
      </x:c>
      <x:c r="E48" s="26" t="str">
        <x:v>운동량과 충격량</x:v>
      </x:c>
      <x:c r="F48" s="26" t="str">
        <x:v>힘-시간 그래프와 충격량</x:v>
      </x:c>
      <x:c r="G48" s="26" t="str">
        <x:v>중</x:v>
      </x:c>
      <x:c r="H48" s="26" t="str">
        <x:v>{"answer":"삼각형 넓이로 충격량 I=½·4·8=16 N·s. 질량 2 kg이므로 Δv=I/m=8 m/s. 처음속도 2 m/s가 힘 방향이라면 최종속도는 10 m/s이다."}</x:v>
      </x:c>
      <x:c r="I48" s="26" t="str">
        <x:v>[{"criterion":"충격량 16 N·s","points":10},{"criterion":"최종속도 10 m/s","points":10}]</x:v>
      </x:c>
      <x:c r="J48" s="26" t="str">
        <x:v>{"steps":["F-t 그래프 아래 넓이가 충격량이다."],"formulas":["I=∫Fdt","I=m(v_f-v_i)"],"commonMistakes":["최대힘 8 N을 4초 내내 곱해 32 N·s로 하는 것","처음속도 조건을 무시하는 것"]}</x:v>
      </x:c>
      <x:c r="K48" s="26" t="str">
        <x:v>{"prompt":"3 kg 물체에 0~6 s 동안 밑변 6 s, 높이 12 N인 삼각형 모양 힘이 작용한다. 처음속도 1 m/s가 힘 방향일 때 최종속도는?","answer":"13 m/s","explanation":"충격량 36 N·s, Δv=12 m/s, 최종 13 m/s.","inputMode":"text","acceptableAnswers":["13","13m/s","13 m/s"]}</x:v>
      </x:c>
      <x:c r="L48" s="26" t="str">
        <x:v>verified</x:v>
      </x:c>
      <x:c r="M48" s="26" t="str"/>
      <x:c r="N48" s="26" t="str">
        <x:v>{"page":1,"crop":[760,590,670,450]}</x:v>
      </x:c>
    </x:row>
    <x:row r="49">
      <x:c r="A49" s="26" t="str">
        <x:v>physics1-basic-r06</x:v>
      </x:c>
      <x:c r="B49" s="26" t="n">
        <x:v>6</x:v>
      </x:c>
      <x:c r="C49" s="26" t="str">
        <x:v>subjective</x:v>
      </x:c>
      <x:c r="D49" s="26" t="n">
        <x:v>30</x:v>
      </x:c>
      <x:c r="E49" s="26" t="str">
        <x:v>운동량과 충격량</x:v>
      </x:c>
      <x:c r="F49" s="26" t="str">
        <x:v>충돌 시간과 충격력</x:v>
      </x:c>
      <x:c r="G49" s="26" t="str">
        <x:v>중</x:v>
      </x:c>
      <x:c r="H49" s="26" t="str">
        <x:v>{"answer":"낙하 속력은 √(2gh)=10 m/s이고 계란 운동량 크기는 0.1·10=1 kg·m/s이다. A는 짧고 큰 힘이므로 콘크리트, B는 길고 작은 힘이므로 쿠션이다. 두 경우 모두 정지한다면 충격량 크기는 약 1 N·s로 같다. 평균힘은 A:1/0.01=100 N, B:1/0.02=50 N이다(충돌 중 중력 충격량은 무시)."}</x:v>
      </x:c>
      <x:c r="I49" s="26" t="str">
        <x:v>[{"criterion":"A=콘크리트, B=쿠션","points":10},{"criterion":"두 충격량 각각 1 N·s","points":10},{"criterion":"평균힘 A 100 N, B 50 N","points":10}]</x:v>
      </x:c>
      <x:c r="J49" s="26" t="str">
        <x:v>{"steps":["충격량이 같아도 충돌 시간을 늘리면 평균힘이 작아진다.","힘-시간 그래프의 넓이는 운동량 변화량이다."],"formulas":["v=√(2gh)","I=Δp","F_avg=I/Δt"],"commonMistakes":["A와 B의 그래프 높이만 보고 충격량도 다르다고 하는 것","쿠션에서 충돌 시간이 길어져 힘이 커진다고 하는 것","중력가속도 조건이 없는 것을 놓치는 것"]}</x:v>
      </x:c>
      <x:c r="K49" s="26" t="str">
        <x:v>{"prompt":"0.2 kg 공이 5 m/s로 바닥에 닿아 정지한다. 딱딱한 바닥에서는 0.02 s, 매트에서는 0.10 s 걸렸다. 평균 충격력 크기를 각각 구하시오.","answer":"딱딱한 바닥 50 N, 매트 10 N","explanation":"충격량 크기 0.2·5=1 N·s. 시간으로 나누면 50 N과 10 N.","inputMode":"text","acceptableAnswers":["50,10","50N,10N"]}</x:v>
      </x:c>
      <x:c r="L49" s="26" t="str">
        <x:v>corrected</x:v>
      </x:c>
      <x:c r="M49" s="26" t="str">
        <x:v>원문 3번은 '콘크리트 바닥으로부터 받은 평균 충격력의 크기를 각각'이라고 되어 있어 표현이 모순된다. A와 B 각각의 평균 충격력을 묻는 것으로 교정한다. g=10 m/s²와 충돌 중 중력 충격량 무시도 보완한다.</x:v>
      </x:c>
      <x:c r="N49" s="26" t="str">
        <x:v>{"page":1,"crop":[760,1010,670,900]}</x:v>
      </x:c>
    </x:row>
    <x:row r="50">
      <x:c r="A50" s="26" t="str">
        <x:v>physics1-basic-r07</x:v>
      </x:c>
      <x:c r="B50" s="26" t="n">
        <x:v>1</x:v>
      </x:c>
      <x:c r="C50" s="26" t="str">
        <x:v>subjective</x:v>
      </x:c>
      <x:c r="D50" s="26" t="n">
        <x:v>15</x:v>
      </x:c>
      <x:c r="E50" s="26" t="str">
        <x:v>운동량과 에너지</x:v>
      </x:c>
      <x:c r="F50" s="26" t="str">
        <x:v>충돌과 반발계수</x:v>
      </x:c>
      <x:c r="G50" s="26" t="str">
        <x:v>상</x:v>
      </x:c>
      <x:c r="H50" s="26" t="str">
        <x:v>{"answer":"운동량 보존: 2·5+4·2=2·1+4v_B → 18=2+4v_B, v_B=4 m/s? 잠깐, 원문 그림의 초기 운동량은 2·5+4·2=18이고 충돌 후 A는 1 m/s이므로 v_B=4 m/s이다. 반발계수 e=(v_B-v_A)/(u_A-u_B)=(4-1)/(5-2)=1. 따라서 이 수치대로라면 완전 탄성이고 운동에너지 손실은 0 J이다."}</x:v>
      </x:c>
      <x:c r="I50" s="26" t="str">
        <x:v>[{"criterion":"B 속도 4 m/s","points":5},{"criterion":"반발계수 e=1","points":5},{"criterion":"운동에너지 보존·손실 0 J","points":5}]</x:v>
      </x:c>
      <x:c r="J50" s="26" t="str">
        <x:v>{"steps":["원문 그림의 속도를 정확히 읽으면 B의 충돌 후 속도는 4 m/s이다.","K_before=½·2·5²+½·4·2²=33 J, K_after=½·2·1²+½·4·4²=33 J로 같다."],"formulas":["Σp_before=Σp_after","e=(분리 상대속도)/(접근 상대속도)","K=½mv²"],"commonMistakes":["B의 질량을 3 kg으로 읽어 이전 회차 문제와 혼동하는 것","반발계수 분자·분모의 속도 순서를 뒤집는 것"]}</x:v>
      </x:c>
      <x:c r="K50" s="26" t="str">
        <x:v>{"prompt":"2 kg A가 6 m/s, 3 kg B가 2 m/s로 같은 방향 운동한다. 충돌 후 A가 2 m/s가 되었다. B의 속도, 반발계수, 운동에너지 손실을 구하시오.","answer":"B=14/3 m/s, e=2/3, 에너지 16/3 J 손실","explanation":"운동량: 2·6+3·2=2·2+3v_B → v_B=14/3. e=(14/3-2)/(6-2)=2/3. K_i=42 J, K_f=4+98/3=110/3 J이므로 16/3 J 손실이다.","inputMode":"text","acceptableAnswers":["14/3,2/3,16/3","4.667,0.667,5.333"]}</x:v>
      </x:c>
      <x:c r="L50" s="26" t="str">
        <x:v>verified</x:v>
      </x:c>
      <x:c r="M50" s="26" t="str"/>
      <x:c r="N50" s="26" t="str">
        <x:v>{"page":1,"crop":[55,180,675,520]}</x:v>
      </x:c>
    </x:row>
    <x:row r="51">
      <x:c r="A51" s="26" t="str">
        <x:v>physics1-basic-r07</x:v>
      </x:c>
      <x:c r="B51" s="26" t="n">
        <x:v>2</x:v>
      </x:c>
      <x:c r="C51" s="26" t="str">
        <x:v>subjective</x:v>
      </x:c>
      <x:c r="D51" s="26" t="n">
        <x:v>10</x:v>
      </x:c>
      <x:c r="E51" s="26" t="str">
        <x:v>일과 에너지</x:v>
      </x:c>
      <x:c r="F51" s="26" t="str">
        <x:v>힘-거리 그래프와 속력비</x:v>
      </x:c>
      <x:c r="G51" s="26" t="str">
        <x:v>중</x:v>
      </x:c>
      <x:c r="H51" s="26" t="str">
        <x:v>{"answer":"정지 출발·마찰 없음으로 보완하면 0~5 m 일은 삼각형 넓이 100 J, 0~10 m 일은 100+직사각형 100=200 J이다. K∝v²이므로 v_5:v_10=√100:√200=1:√2이다."}</x:v>
      </x:c>
      <x:c r="I51" s="26" t="str">
        <x:v>[{"criterion":"방향·부호·적용 조건 설정","points":2},{"criterion":"핵심 식 전개","points":3},{"criterion":"수치 계산","points":3},{"criterion":"최종값·단위·해석","points":2}]</x:v>
      </x:c>
      <x:c r="J51" s="26" t="str">
        <x:v>{"steps":["F-s 그래프 아래 넓이는 일이다.","일-에너지 정리로 알짜일이 운동에너지 변화량이다."],"formulas":["W=∫Fds","W=ΔK","v∝√K (같은 질량)"],"commonMistakes":["힘의 값 40:20을 속력비로 쓰는 것","0~10 m 넓이에서 첫 구간을 빼는 것"]}</x:v>
      </x:c>
      <x:c r="K51" s="26" t="str">
        <x:v>{"prompt":"정지한 물체에 0~4 m에서 힘이 0→30 N으로 선형 증가하고, 4~8 m에서 30 N으로 일정하다. 4 m와 8 m 속력의 비는?","answer":"1:√3","explanation":"W_4=60 J, W_8=60+120=180 J. 속력비는 √60:√180=1:√3.","inputMode":"text","acceptableAnswers":["1:sqrt3","1:√3"]}</x:v>
      </x:c>
      <x:c r="L51" s="26" t="str">
        <x:v>corrected</x:v>
      </x:c>
      <x:c r="M51" s="26" t="str">
        <x:v>원문에는 초기 속도와 마찰 조건이 없다. 속력비가 하나로 정해지도록 s=0에서 정지, 마찰 없음으로 보완한다.</x:v>
      </x:c>
      <x:c r="N51" s="26" t="str">
        <x:v>{"page":1,"crop":[55,690,675,360]}</x:v>
      </x:c>
    </x:row>
    <x:row r="52">
      <x:c r="A52" s="26" t="str">
        <x:v>physics1-basic-r07</x:v>
      </x:c>
      <x:c r="B52" s="26" t="n">
        <x:v>3</x:v>
      </x:c>
      <x:c r="C52" s="26" t="str">
        <x:v>subjective</x:v>
      </x:c>
      <x:c r="D52" s="26" t="n">
        <x:v>10</x:v>
      </x:c>
      <x:c r="E52" s="26" t="str">
        <x:v>일과 에너지</x:v>
      </x:c>
      <x:c r="F52" s="26" t="str">
        <x:v>마찰이 한 일</x:v>
      </x:c>
      <x:c r="G52" s="26" t="str">
        <x:v>중</x:v>
      </x:c>
      <x:c r="H52" s="26" t="str">
        <x:v>{"answer":"운동에너지 변화는 ½·2(14²-10²)=96 J. 가한 힘의 일은 5·20=100 J. W_net=100-f·20=96이므로 f=0.2 N이다."}</x:v>
      </x:c>
      <x:c r="I52" s="26" t="str">
        <x:v>[{"criterion":"방향·부호·적용 조건 설정","points":2},{"criterion":"핵심 식 전개","points":3},{"criterion":"수치 계산","points":3},{"criterion":"최종값·단위·해석","points":2}]</x:v>
      </x:c>
      <x:c r="J52" s="26" t="str">
        <x:v>{"steps":["알짜일은 운동에너지 변화량이다."],"formulas":["W_net=ΔK","(F-f)d=½m(v²-v₀²)"],"commonMistakes":["가한 힘 5 N을 곧 알짜힘으로 보는 것","속도 차 4 m/s를 그대로 에너지 변화에 쓰는 것"]}</x:v>
      </x:c>
      <x:c r="K52" s="26" t="str">
        <x:v>{"prompt":"3 kg 물체가 4 m/s에서 출발해 6 N 힘을 운동 방향으로 받으며 10 m 이동하여 6 m/s가 되었다. 마찰력 크기는?","answer":"3 N","explanation":"ΔK=½·3(36-16)=30 J, 가한 힘의 일 60 J이므로 마찰이 한 일 -30 J, f=3 N.","inputMode":"text","acceptableAnswers":["3","3N","3 N"]}</x:v>
      </x:c>
      <x:c r="L52" s="26" t="str">
        <x:v>verified</x:v>
      </x:c>
      <x:c r="M52" s="26" t="str"/>
      <x:c r="N52" s="26" t="str">
        <x:v>{"page":1,"crop":[55,1030,675,300]}</x:v>
      </x:c>
    </x:row>
    <x:row r="53">
      <x:c r="A53" s="26" t="str">
        <x:v>physics1-basic-r07</x:v>
      </x:c>
      <x:c r="B53" s="26" t="n">
        <x:v>4</x:v>
      </x:c>
      <x:c r="C53" s="26" t="str">
        <x:v>subjective</x:v>
      </x:c>
      <x:c r="D53" s="26" t="n">
        <x:v>10</x:v>
      </x:c>
      <x:c r="E53" s="26" t="str">
        <x:v>일과 에너지</x:v>
      </x:c>
      <x:c r="F53" s="26" t="str">
        <x:v>역학적 에너지 보존</x:v>
      </x:c>
      <x:c r="G53" s="26" t="str">
        <x:v>중</x:v>
      </x:c>
      <x:c r="H53" s="26" t="str">
        <x:v>{"answer":"출발점 위치에너지를 0으로 두면 전체 에너지는 ½m·20²=200m. 위치에너지와 운동에너지가 같을 때 각각 100m. ½mv²=100m이므로 v=10√2 m/s이다."}</x:v>
      </x:c>
      <x:c r="I53" s="26" t="str">
        <x:v>[{"criterion":"방향·부호·적용 조건 설정","points":2},{"criterion":"핵심 식 전개","points":3},{"criterion":"수치 계산","points":3},{"criterion":"최종값·단위·해석","points":2}]</x:v>
      </x:c>
      <x:c r="J53" s="26" t="str">
        <x:v>{"steps":["공기 저항이 없으면 K+U가 보존된다.","K=U일 때 K는 전체 에너지의 절반이다."],"formulas":["½mv₀²=K+U","K=U=¼mv₀²"],"commonMistakes":["속력이 절반인 10 m/s라고 하는 것","에너지가 절반이면 속력도 절반이라고 보는 것"]}</x:v>
      </x:c>
      <x:c r="K53" s="26" t="str">
        <x:v>{"prompt":"물체를 지면에서 30 m/s로 위로 던졌다. 위치에너지가 운동에너지의 2배가 되는 지점의 속력을 구하시오.","answer":"10√3 m/s","explanation":"전체 에너지 ½m·900. U=2K이므로 전체=3K, K=150m. ½mv²=150m → v=10√3.","inputMode":"text","acceptableAnswers":["10sqrt3","10√3","17.32"]}</x:v>
      </x:c>
      <x:c r="L53" s="26" t="str">
        <x:v>verified</x:v>
      </x:c>
      <x:c r="M53" s="26" t="str"/>
      <x:c r="N53" s="26" t="str">
        <x:v>{"page":1,"crop":[55,1310,675,350]}</x:v>
      </x:c>
    </x:row>
    <x:row r="54">
      <x:c r="A54" s="26" t="str">
        <x:v>physics1-basic-r07</x:v>
      </x:c>
      <x:c r="B54" s="26" t="n">
        <x:v>5</x:v>
      </x:c>
      <x:c r="C54" s="26" t="str">
        <x:v>subjective</x:v>
      </x:c>
      <x:c r="D54" s="26" t="n">
        <x:v>10</x:v>
      </x:c>
      <x:c r="E54" s="26" t="str">
        <x:v>일과 에너지</x:v>
      </x:c>
      <x:c r="F54" s="26" t="str">
        <x:v>일-에너지 정리</x:v>
      </x:c>
      <x:c r="G54" s="26" t="str">
        <x:v>하</x:v>
      </x:c>
      <x:c r="H54" s="26" t="str">
        <x:v>{"answer":"초기 운동에너지 ½·2·4²=16 J. 힘이 한 일 2·10=20 J. 최종 운동에너지 36 J이므로 ½·2·v²=v²=36, v=6 m/s이다."}</x:v>
      </x:c>
      <x:c r="I54" s="26" t="str">
        <x:v>[{"criterion":"방향·부호·적용 조건 설정","points":2},{"criterion":"핵심 식 전개","points":3},{"criterion":"수치 계산","points":3},{"criterion":"최종값·단위·해석","points":2}]</x:v>
      </x:c>
      <x:c r="J54" s="26" t="str">
        <x:v>{"steps":["마찰이 없고 힘이 운동 방향이면 W=Fd."],"formulas":["K_f=K_i+Fd"],"commonMistakes":["가속도 1 m/s²를 구한 뒤 시간을 임의로 정하는 것","일을 2×10×cos90으로 계산하는 것"]}</x:v>
      </x:c>
      <x:c r="K54" s="26" t="str">
        <x:v>{"prompt":"질량 4 kg 물체가 3 m/s로 움직일 때 같은 방향 5 N 힘이 8 m 동안 작용한다. 최종속력은?","answer":"√29 m/s","explanation":"K_i=18 J, W=40 J, K_f=58 J=2v²이므로 v²=29.","inputMode":"text","acceptableAnswers":["sqrt29","√29","5.385"]}</x:v>
      </x:c>
      <x:c r="L54" s="26" t="str">
        <x:v>verified</x:v>
      </x:c>
      <x:c r="M54" s="26" t="str"/>
      <x:c r="N54" s="26" t="str">
        <x:v>{"page":1,"crop":[760,180,670,300]}</x:v>
      </x:c>
    </x:row>
    <x:row r="55">
      <x:c r="A55" s="26" t="str">
        <x:v>physics1-basic-r07</x:v>
      </x:c>
      <x:c r="B55" s="26" t="n">
        <x:v>6</x:v>
      </x:c>
      <x:c r="C55" s="26" t="str">
        <x:v>subjective</x:v>
      </x:c>
      <x:c r="D55" s="26" t="n">
        <x:v>15</x:v>
      </x:c>
      <x:c r="E55" s="26" t="str">
        <x:v>일과 에너지</x:v>
      </x:c>
      <x:c r="F55" s="26" t="str">
        <x:v>일률과 질량 유량</x:v>
      </x:c>
      <x:c r="G55" s="26" t="str">
        <x:v>상</x:v>
      </x:c>
      <x:c r="H55" s="26" t="str">
        <x:v>{"answer":"물체 선밀도는 10 kg/5 m=2 kg/m. 벨트 속도 4 m/s이므로 질량 유량은 8 kg/s. 매초 각 질량이 높이 5 m만큼 얻는 위치에너지는 P=(8 kg/s)·10·5=400 W이다."}</x:v>
      </x:c>
      <x:c r="I55" s="26" t="str">
        <x:v>[{"criterion":"질량 유량 8 kg/s","points":6},{"criterion":"위치에너지 증가율 설정","points":4},{"criterion":"일률 400 W","points":5}]</x:v>
      </x:c>
      <x:c r="J55" s="26" t="str">
        <x:v>{"steps":["경사면 길이 20 m는 한 물체의 이동시간을 구하는 다른 풀이에 사용 가능하다.","공기 저항 무시 조건보다 마찰·벨트가 물체에 일을 해 위치에너지를 올린다는 점이 핵심이다."],"formulas":["P=ṁgh","ṁ=(m/간격)v"],"commonMistakes":["경사면 위 물체 개수를 끝점 포함으로 세어 4개/5개 논쟁에 빠지는 것","한 물체의 에너지 500 J를 그대로 일률로 쓰는 것"]}</x:v>
      </x:c>
      <x:c r="K55" s="26" t="str">
        <x:v>{"prompt":"질량 6 kg 상자가 3 m 간격으로 놓인 벨트가 2 m/s로 움직이며 높이 4 m까지 올린다. g=10. 필요한 이상적 일률은?","answer":"160 W","explanation":"질량 유량=(6/3)·2=4 kg/s, P=4·10·4=160 W.","inputMode":"text","acceptableAnswers":["160","160W","160 W"]}</x:v>
      </x:c>
      <x:c r="L55" s="26" t="str">
        <x:v>verified</x:v>
      </x:c>
      <x:c r="M55" s="26" t="str"/>
      <x:c r="N55" s="26" t="str">
        <x:v>{"page":1,"crop":[760,460,670,510]}</x:v>
      </x:c>
    </x:row>
    <x:row r="56">
      <x:c r="A56" s="26" t="str">
        <x:v>physics1-basic-r07</x:v>
      </x:c>
      <x:c r="B56" s="26" t="n">
        <x:v>7</x:v>
      </x:c>
      <x:c r="C56" s="26" t="str">
        <x:v>subjective</x:v>
      </x:c>
      <x:c r="D56" s="26" t="n">
        <x:v>30</x:v>
      </x:c>
      <x:c r="E56" s="26" t="str">
        <x:v>일과 에너지</x:v>
      </x:c>
      <x:c r="F56" s="26" t="str">
        <x:v>비스듬한 힘·마찰·알짜일</x:v>
      </x:c>
      <x:c r="G56" s="26" t="str">
        <x:v>상</x:v>
      </x:c>
      <x:c r="H56" s="26" t="str">
        <x:v>{"answer":"sin45°=cos45°≈0.7. ① W_F=100·10·0.7=700 J. ② N=mg-Fsin45=100-70=30 N. ③ f_k=0.1·30=3 N, W_f=-3·10=-30 J. ④ 중력과 수직항력의 일은 0이므로 전체 알짜일은 700-30=670 J."}</x:v>
      </x:c>
      <x:c r="I56" s="26" t="str">
        <x:v>[{"criterion":"힘이 한 일 700 J","points":5},{"criterion":"수직항력 30 N","points":10},{"criterion":"마찰의 일 -30 J","points":5},{"criterion":"알짜일 670 J","points":10}]</x:v>
      </x:c>
      <x:c r="J56" s="26" t="str">
        <x:v>{"steps":["위로 당기는 성분 때문에 수직항력과 마찰력이 줄어든다.","마찰이 한 일은 운동 방향과 반대이므로 음수다."],"formulas":["W=Fdcosθ","N=mg-Fsinθ","f_k=μ_kN","W_net=ΣW"],"commonMistakes":["N=mg로 두는 것","마찰력 계산에 μmg를 쓰는 것","시스템 전체 일을 700+30으로 더하는 것"]}</x:v>
      </x:c>
      <x:c r="K56" s="26" t="str">
        <x:v>{"prompt":"질량 20 kg 상자를 수평면과 37° 위 방향으로 100 N 당겨 5 m 이동시킨다. sin37=0.6, cos37=0.8, μ_k=0.2, g=10. 힘의 일, N, 마찰의 일, 알짜일을 구하시오.","answer":"400 J, 140 N, -140 J, 260 J","explanation":"W_F=100·5·0.8=400. N=200-60=140. f=28 N, W_f=-140. W_net=260 J.","inputMode":"text","acceptableAnswers":["400,140,-140,260"]}</x:v>
      </x:c>
      <x:c r="L56" s="26" t="str">
        <x:v>verified</x:v>
      </x:c>
      <x:c r="M56" s="26" t="str"/>
      <x:c r="N56" s="26" t="str">
        <x:v>{"page":1,"crop":[760,960,670,930]}</x:v>
      </x:c>
    </x:row>
    <x:row r="57">
      <x:c r="A57" s="26" t="str">
        <x:v>physics1-basic-r08</x:v>
      </x:c>
      <x:c r="B57" s="26" t="n">
        <x:v>1</x:v>
      </x:c>
      <x:c r="C57" s="26" t="str">
        <x:v>subjective</x:v>
      </x:c>
      <x:c r="D57" s="26" t="n">
        <x:v>25</x:v>
      </x:c>
      <x:c r="E57" s="26" t="str">
        <x:v>일과 에너지</x:v>
      </x:c>
      <x:c r="F57" s="26" t="str">
        <x:v>힘-거리 그래프</x:v>
      </x:c>
      <x:c r="G57" s="26" t="str">
        <x:v>중</x:v>
      </x:c>
      <x:c r="H57" s="26" t="str">
        <x:v>{"answer":"① 0~5 m에서 일 10·5=50 J, 5~10 m에서 20·5=100 J이므로 총 150 J. ② 5 m에서 K=50 J=½·1·v² → v=10 m/s. ③ 10 m에서 K=150 J → v=10√3 m/s이므로 5 m 때의 √3배이다."}</x:v>
      </x:c>
      <x:c r="I57" s="26" t="str">
        <x:v>[{"criterion":"총 일 150 J","points":5},{"criterion":"5 m 속력 10 m/s","points":10},{"criterion":"10 m 속력비 √3배","points":10}]</x:v>
      </x:c>
      <x:c r="J57" s="26" t="str">
        <x:v>{"steps":["F-s 그래프 아래 넓이가 힘이 한 일이다.","처음 정지했고 마찰이 없으므로 누적 일이 곧 운동에너지다."],"formulas":["W=∫Fds","W=½mv²"],"commonMistakes":["10 m 지점에서 마지막 5 m의 일 100 J만 쓰는 것","속력비를 에너지비 3으로 쓰는 것"]}</x:v>
      </x:c>
      <x:c r="K57" s="26" t="str">
        <x:v>{"prompt":"정지한 2 kg 물체에 0~4 m에서는 8 N, 4~10 m에서는 12 N 힘이 작용한다. 10 m까지 한 일, 4 m와 10 m에서 속력, 속력비를 구하시오.","answer":"104 J, v₄=4√2 m/s, v₁₀=2√26 m/s, v₁₀/v₄=√13/2","explanation":"W₄=32 J, W₁₀=32+72=104 J. v=√(2W/m)=√W이므로 v₄=√32=4√2, v₁₀=√104=2√26.","inputMode":"text","acceptableAnswers":["104,4sqrt2,2sqrt26,sqrt13/2"]}</x:v>
      </x:c>
      <x:c r="L57" s="26" t="str">
        <x:v>verified</x:v>
      </x:c>
      <x:c r="M57" s="26" t="str"/>
      <x:c r="N57" s="26" t="str">
        <x:v>{"page":1,"crop":[55,180,675,600]}</x:v>
      </x:c>
    </x:row>
    <x:row r="58">
      <x:c r="A58" s="26" t="str">
        <x:v>physics1-basic-r08</x:v>
      </x:c>
      <x:c r="B58" s="26" t="n">
        <x:v>2</x:v>
      </x:c>
      <x:c r="C58" s="26" t="str">
        <x:v>subjective</x:v>
      </x:c>
      <x:c r="D58" s="26" t="n">
        <x:v>10</x:v>
      </x:c>
      <x:c r="E58" s="26" t="str">
        <x:v>일과 에너지</x:v>
      </x:c>
      <x:c r="F58" s="26" t="str">
        <x:v>진자와 역학적 에너지</x:v>
      </x:c>
      <x:c r="G58" s="26" t="str">
        <x:v>하</x:v>
      </x:c>
      <x:c r="H58" s="26" t="str">
        <x:v>{"answer":"A에서 B까지 높이 1 m만큼 내려온다. mgh=½mv²에서 v=√(2gh)=√20=2√5 m/s이다."}</x:v>
      </x:c>
      <x:c r="I58" s="26" t="str">
        <x:v>[{"criterion":"방향·부호·적용 조건 설정","points":2},{"criterion":"핵심 식 전개","points":3},{"criterion":"수치 계산","points":3},{"criterion":"최종값·단위·해석","points":2}]</x:v>
      </x:c>
      <x:c r="J58" s="26" t="str">
        <x:v>{"steps":["질량은 약분되어 속력에 영향을 주지 않는다."],"formulas":["mgh=½mv²"],"commonMistakes":["실 길이 1 m를 이동거리로만 보고 높이차를 2 m로 쓰는 것","질량 2 kg을 약분하지 못하는 것"]}</x:v>
      </x:c>
      <x:c r="K58" s="26" t="str">
        <x:v>{"prompt":"길이 0.8 m 진자를 수평 위치에서 놓았다. 최하점 속력을 g=10으로 구하시오.","answer":"4 m/s","explanation":"높이차 0.8 m이므로 v=√(2·10·0.8)=4 m/s.","inputMode":"text","acceptableAnswers":["4","4m/s","4 m/s"]}</x:v>
      </x:c>
      <x:c r="L58" s="26" t="str">
        <x:v>verified</x:v>
      </x:c>
      <x:c r="M58" s="26" t="str"/>
      <x:c r="N58" s="26" t="str">
        <x:v>{"page":1,"crop":[55,760,675,370]}</x:v>
      </x:c>
    </x:row>
    <x:row r="59">
      <x:c r="A59" s="26" t="str">
        <x:v>physics1-basic-r08</x:v>
      </x:c>
      <x:c r="B59" s="26" t="n">
        <x:v>3</x:v>
      </x:c>
      <x:c r="C59" s="26" t="str">
        <x:v>subjective</x:v>
      </x:c>
      <x:c r="D59" s="26" t="n">
        <x:v>20</x:v>
      </x:c>
      <x:c r="E59" s="26" t="str">
        <x:v>일과 에너지</x:v>
      </x:c>
      <x:c r="F59" s="26" t="str">
        <x:v>용수철 상수와 탄성에너지</x:v>
      </x:c>
      <x:c r="G59" s="26" t="str">
        <x:v>중</x:v>
      </x:c>
      <x:c r="H59" s="26" t="str">
        <x:v>{"answer":"그래프에서 x=0.4 m일 때 F=10 N이므로 k=F/x=25 N/m. 탄성 위치에너지는 F-x 그래프 아래 삼각형 넓이 또는 ½kx²이므로 2 J이다."}</x:v>
      </x:c>
      <x:c r="I59" s="26" t="str">
        <x:v>[{"criterion":"용수철 상수 25 N/m","points":10},{"criterion":"탄성에너지 2 J","points":10}]</x:v>
      </x:c>
      <x:c r="J59" s="26" t="str">
        <x:v>{"steps":["후크 법칙 구간에서 F=kx이다.","탄성에너지는 힘-변형량 그래프 아래 넓이다."],"formulas":["F=kx","U_s=½kx²"],"commonMistakes":["k=10/4=2.5로 cm처럼 계산하는 것","U=Fx=4 J로 계산해 1/2를 빼먹는 것"]}</x:v>
      </x:c>
      <x:c r="K59" s="26" t="str">
        <x:v>{"prompt":"용수철 F-x 그래프가 원점과 (0.30 m, 18 N)을 잇는 직선이다. k와 0.20 m 늘어났을 때 탄성에너지를 구하시오.","answer":"k=60 N/m, U=1.2 J","explanation":"k=18/0.3=60. U=½·60·0.2²=1.2 J.","inputMode":"text","acceptableAnswers":["60,1.2","60N/m,1.2J"]}</x:v>
      </x:c>
      <x:c r="L59" s="26" t="str">
        <x:v>verified</x:v>
      </x:c>
      <x:c r="M59" s="26" t="str"/>
      <x:c r="N59" s="26" t="str">
        <x:v>{"page":1,"crop":[55,1110,675,780]}</x:v>
      </x:c>
    </x:row>
    <x:row r="60">
      <x:c r="A60" s="26" t="str">
        <x:v>physics1-basic-r08</x:v>
      </x:c>
      <x:c r="B60" s="26" t="n">
        <x:v>4</x:v>
      </x:c>
      <x:c r="C60" s="26" t="str">
        <x:v>subjective</x:v>
      </x:c>
      <x:c r="D60" s="26" t="n">
        <x:v>20</x:v>
      </x:c>
      <x:c r="E60" s="26" t="str">
        <x:v>일과 에너지</x:v>
      </x:c>
      <x:c r="F60" s="26" t="str">
        <x:v>용수철 에너지 보존</x:v>
      </x:c>
      <x:c r="G60" s="26" t="str">
        <x:v>중</x:v>
      </x:c>
      <x:c r="H60" s="26" t="str">
        <x:v>{"answer":"A에서 x=1 m이므로 U=½·20·1²=10 J. O에서 U=0이라 ½·1·v²=10 → v=2√5 m/s. O에서 0.5 m 압축되면 U=½·20·0.5²=2.5 J, K=10-2.5=7.5 J이므로 v=√15 m/s이다."}</x:v>
      </x:c>
      <x:c r="I60" s="26" t="str">
        <x:v>[{"criterion":"A점 탄성에너지 10 J","points":5},{"criterion":"O점 속력 2√5 m/s","points":5},{"criterion":"0.5 m 압축 시 속력 √15 m/s","points":10}]</x:v>
      </x:c>
      <x:c r="J60" s="26" t="str">
        <x:v>{"steps":["마찰이 없으면 총 역학적 에너지 10 J가 보존된다.","평형점 양쪽에서 같은 압축/신장량이면 같은 탄성에너지다."],"formulas":["E=½kx²+½mv²"],"commonMistakes":["평형점에서 속력이 0이라고 하는 것","0.5 m 위치에서 남은 에너지를 5 J로 계산하는 것"]}</x:v>
      </x:c>
      <x:c r="K60" s="26" t="str">
        <x:v>{"prompt":"k=50 N/m, m=2 kg인 수평 용수철을 평형점에서 0.4 m 당겨 놓는다. 평형점 속력과 0.2 m 압축 시 속력을 구하시오.","answer":"2 m/s, √3 m/s","explanation":"총 E=½·50·0.16=4 J. O에서 ½·2v²=4 →2. 0.2 m에서 U=1 J, K=3 J → v=√3.","inputMode":"text","acceptableAnswers":["2,sqrt3","2m/s,√3m/s"]}</x:v>
      </x:c>
      <x:c r="L60" s="26" t="str">
        <x:v>verified</x:v>
      </x:c>
      <x:c r="M60" s="26" t="str"/>
      <x:c r="N60" s="26" t="str">
        <x:v>{"page":1,"crop":[760,180,670,680]}</x:v>
      </x:c>
    </x:row>
    <x:row r="61">
      <x:c r="A61" s="26" t="str">
        <x:v>physics1-basic-r08</x:v>
      </x:c>
      <x:c r="B61" s="26" t="n">
        <x:v>5</x:v>
      </x:c>
      <x:c r="C61" s="26" t="str">
        <x:v>subjective</x:v>
      </x:c>
      <x:c r="D61" s="26" t="n">
        <x:v>15</x:v>
      </x:c>
      <x:c r="E61" s="26" t="str">
        <x:v>일과 에너지</x:v>
      </x:c>
      <x:c r="F61" s="26" t="str">
        <x:v>마찰과 열</x:v>
      </x:c>
      <x:c r="G61" s="26" t="str">
        <x:v>상</x:v>
      </x:c>
      <x:c r="H61" s="26" t="str">
        <x:v>{"answer":"빗면 길이 2 m, 각 30°이므로 높이차 h=1 m. 위치에너지 감소는 10 J, B에서 운동에너지는 ½·1·4²=8 J이므로 마찰로 생긴 열은 2 J=0.5 cal. 마찰력은 2 J/2 m=1 N. N=mgcos30=5√3 N이므로 μ=1/(5√3)=√3/15≈0.115이다."}</x:v>
      </x:c>
      <x:c r="I61" s="26" t="str">
        <x:v>[{"criterion":"발생 열 2 J=0.5 cal","points":10},{"criterion":"마찰계수 √3/15≈0.115","points":5}]</x:v>
      </x:c>
      <x:c r="J61" s="26" t="str">
        <x:v>{"steps":["소실된 역학적 에너지가 열로 전환된다.","마찰계수 계산은 J 단위의 일과 힘을 사용한다."],"formulas":["Q=mgh-½mv²","W_f=fd","μ=f/(mgcosθ)"],"commonMistakes":["2 J를 8 cal로 바꾸는 것(4 J=1 cal)","마찰력이 2 N이라고 하는 것","N=mg로 두는 것"]}</x:v>
      </x:c>
      <x:c r="K61" s="26" t="str">
        <x:v>{"prompt":"질량 2 kg 물체가 37° 빗면을 5 m 내려가 속력 6 m/s가 되었다. 처음 정지, sin37=0.6, cos37=0.8, g=10, 4 J/cal. 발생 열량과 마찰계수를 구하시오.","answer":"열 6 cal, μ=0.3","explanation":"높이차 3 m라 위치에너지 감소 60 J, 운동에너지 36 J. 열은 24 J=6 cal. 마찰력은 24/5=4.8 N, N=2·10·0.8=16 N이므로 μ=0.3.","inputMode":"text","acceptableAnswers":["6,0.3","6cal,0.3"]}</x:v>
      </x:c>
      <x:c r="L61" s="26" t="str">
        <x:v>verified</x:v>
      </x:c>
      <x:c r="M61" s="26" t="str"/>
      <x:c r="N61" s="26" t="str">
        <x:v>{"page":1,"crop":[760,850,670,570]}</x:v>
      </x:c>
    </x:row>
    <x:row r="62">
      <x:c r="A62" s="26" t="str">
        <x:v>physics1-basic-r08</x:v>
      </x:c>
      <x:c r="B62" s="26" t="n">
        <x:v>6</x:v>
      </x:c>
      <x:c r="C62" s="26" t="str">
        <x:v>subjective</x:v>
      </x:c>
      <x:c r="D62" s="26" t="n">
        <x:v>10</x:v>
      </x:c>
      <x:c r="E62" s="26" t="str">
        <x:v>일과 에너지</x:v>
      </x:c>
      <x:c r="F62" s="26" t="str">
        <x:v>낙하와 용수철 최대 압축</x:v>
      </x:c>
      <x:c r="G62" s="26" t="str">
        <x:v>상</x:v>
      </x:c>
      <x:c r="H62" s="26" t="str">
        <x:v>{"answer":"처음과 최대 압축 순간 모두 속력 0이다. 물체는 낙하 높이 h뿐 아니라 용수철이 x만큼 압축되는 동안에도 중력이 일을 하므로 mg(h+x)=½kx². 0.8·10(0.25+x)=4.5x². 정리하면 9x²-16x-4=0, 양의 해 x=2 m이다."}</x:v>
      </x:c>
      <x:c r="I62" s="26" t="str">
        <x:v>[{"criterion":"방향·부호·적용 조건 설정","points":2},{"criterion":"핵심 식 전개","points":3},{"criterion":"수치 계산","points":3},{"criterion":"최종값·단위·해석","points":2}]</x:v>
      </x:c>
      <x:c r="J62" s="26" t="str">
        <x:v>{"steps":["중력 위치에너지 기준을 최대 압축 위치에 두면 낙하 높이는 h+x이다."],"formulas":["mg(h+x)=½kx²"],"commonMistakes":["mgh=½kx²로 압축 중 추가 낙하 x를 빼먹는 것","평형 압축량 mg/k를 최대 압축량으로 쓰는 것"]}</x:v>
      </x:c>
      <x:c r="K62" s="26" t="str">
        <x:v>{"prompt":"0.5 kg 물체를 k=20 N/m 용수철 위 0.30 m 높이에서 떨어뜨린다. g=10. 최대 압축량을 구하시오.","answer":"약 0.711 m","explanation":"5(0.3+x)=10x² → 10x²-5x-1.5=0, 양의 해 x=(5+√85)/20≈0.711 m.","inputMode":"text","acceptableAnswers":["0.711","(5+sqrt85)/20"]}</x:v>
      </x:c>
      <x:c r="L62" s="26" t="str">
        <x:v>verified</x:v>
      </x:c>
      <x:c r="M62" s="26" t="str"/>
      <x:c r="N62" s="26" t="str">
        <x:v>{"page":1,"crop":[760,1410,670,490]}</x:v>
      </x:c>
    </x:row>
  </x:sheetData>
  <x:mergeCells>
    <x:mergeCell ref="A1:N1"/>
    <x:mergeCell ref="A2:N2"/>
  </x:mergeCells>
  <x:conditionalFormatting sqref="L5:L62">
    <x:cfRule type="expression" dxfId="3" priority="1">
      <x:formula>L5="verified"</x:formula>
    </x:cfRule>
    <x:cfRule type="expression" dxfId="4" priority="2">
      <x:formula>L5="corrected"</x:formula>
    </x:cfRule>
    <x:cfRule type="expression" dxfId="5" priority="3">
      <x:formula>OR(L5="ambiguous",L5="needs-review")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9523f559b740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16" hidden="0" customWidth="1"/>
    <x:col min="9" max="9" width="8" hidden="0" customWidth="1"/>
    <x:col min="10" max="10" width="12" hidden="0" customWidth="1"/>
    <x:col min="11" max="11" width="50" hidden="0" customWidth="1"/>
    <x:col min="12" max="12" width="30" hidden="0" customWidth="1"/>
    <x:col min="13" max="13" width="55" hidden="0" customWidth="1"/>
    <x:col min="14" max="14" width="70" hidden="0" customWidth="1"/>
    <x:col min="15" max="15" width="22" hidden="0" customWidth="1"/>
    <x:col min="16" max="16" width="22" hidden="0" customWidth="1"/>
  </x:cols>
  <x:sheetData>
    <x:row r="1" ht="34" customHeight="1">
      <x:c r="A1" s="5" t="str">
        <x:v>Reports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3" t="str">
        <x:v>실제 학생 기록 원본. 헤더 아래는 비워 둡니다. 직접 편집보다 Apps Script API 사용을 권장합니다.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33" t="str">
        <x:v>Token</x:v>
      </x:c>
      <x:c r="B4" s="33" t="str">
        <x:v>Fingerprint</x:v>
      </x:c>
      <x:c r="C4" s="33" t="str">
        <x:v>IdentitySeed</x:v>
      </x:c>
      <x:c r="D4" s="33" t="str">
        <x:v>IdentityDigest</x:v>
      </x:c>
      <x:c r="E4" s="33" t="str">
        <x:v>ExamId</x:v>
      </x:c>
      <x:c r="F4" s="33" t="str">
        <x:v>CourseId</x:v>
      </x:c>
      <x:c r="G4" s="33" t="str">
        <x:v>School</x:v>
      </x:c>
      <x:c r="H4" s="33" t="str">
        <x:v>Name</x:v>
      </x:c>
      <x:c r="I4" s="33" t="str">
        <x:v>Grade</x:v>
      </x:c>
      <x:c r="J4" s="33" t="str">
        <x:v>ClassNo</x:v>
      </x:c>
      <x:c r="K4" s="33" t="str">
        <x:v>ResultInputsJSON</x:v>
      </x:c>
      <x:c r="L4" s="33" t="str">
        <x:v>PartialModesJSON</x:v>
      </x:c>
      <x:c r="M4" s="33" t="str">
        <x:v>ScoringJSON</x:v>
      </x:c>
      <x:c r="N4" s="33" t="str">
        <x:v>RecordJSON</x:v>
      </x:c>
      <x:c r="O4" s="33" t="str">
        <x:v>CreatedAt</x:v>
      </x:c>
      <x:c r="P4" s="33" t="str">
        <x:v>UpdatedAt</x:v>
      </x:c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 ht="34" customHeight="1">
      <x:c r="A1" s="5" t="str">
        <x:v>초기화 데이터 요약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배포 전 운영 회차와 등록 문항 수를 확인합니다.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지표</x:v>
      </x:c>
      <x:c r="B4" s="20" t="str">
        <x:v>값</x:v>
      </x:c>
      <x:c r="D4" s="19" t="str">
        <x:v>상태</x:v>
      </x:c>
      <x:c r="E4" s="19" t="str">
        <x:v>회차 수</x:v>
      </x:c>
    </x:row>
    <x:row r="5">
      <x:c r="A5" s="24" t="str">
        <x:v>과정 수</x:v>
      </x:c>
      <x:c r="B5" s="24" t="n">
        <x:f>COUNTA(Courses!A5:A100)</x:f>
        <x:v>3</x:v>
      </x:c>
      <x:c r="D5" s="24" t="str">
        <x:v>준비 완료</x:v>
      </x:c>
      <x:c r="E5" s="24" t="n">
        <x:f>COUNTIF(Exams!L5:L100,"ready")</x:f>
        <x:v>7</x:v>
      </x:c>
    </x:row>
    <x:row r="6">
      <x:c r="A6" s="24" t="str">
        <x:v>운영 회차 수</x:v>
      </x:c>
      <x:c r="B6" s="24" t="n">
        <x:f>COUNTA(Exams!A5:A100)</x:f>
        <x:v>34</x:v>
      </x:c>
      <x:c r="D6" s="24" t="str">
        <x:v>준비 중</x:v>
      </x:c>
      <x:c r="E6" s="24" t="n">
        <x:f>COUNTIF(Exams!L5:L100,"coming-soon")</x:f>
        <x:v>27</x:v>
      </x:c>
    </x:row>
    <x:row r="7">
      <x:c r="A7" s="24" t="str">
        <x:v>준비 완료 회차</x:v>
      </x:c>
      <x:c r="B7" s="24" t="n">
        <x:f>COUNTIF(Exams!L5:L100,"ready")</x:f>
        <x:v>7</x:v>
      </x:c>
      <x:c r="D7" s="24" t="str">
        <x:v>자동 공개 보류</x:v>
      </x:c>
      <x:c r="E7" s="24" t="n">
        <x:f>COUNTIF(Questions!L5:L500,"needs-review")+COUNTIF(Questions!L5:L500,"ambiguous")</x:f>
        <x:v>2</x:v>
      </x:c>
    </x:row>
    <x:row r="8">
      <x:c r="A8" s="24" t="str">
        <x:v>등록 상위 문항 수</x:v>
      </x:c>
      <x:c r="B8" s="24" t="n">
        <x:f>COUNTA(Questions!A5:A500)</x:f>
        <x:v>58</x:v>
      </x:c>
    </x:row>
    <x:row r="9">
      <x:c r="A9" s="24" t="str">
        <x:v>확인 필요 문항</x:v>
      </x:c>
      <x:c r="B9" s="24" t="n">
        <x:f>COUNTIF(Questions!L5:L500,"needs-review")+COUNTIF(Questions!L5:L500,"ambiguous")</x:f>
        <x:v>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8414fc4b2a548e3"/>
</x:worksheet>
</file>